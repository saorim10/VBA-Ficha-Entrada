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DeTrabalho"/>
  <bookViews>
    <workbookView xWindow="-120" yWindow="-120" windowWidth="20730" windowHeight="11760" tabRatio="775"/>
  </bookViews>
  <sheets>
    <sheet name="Menu" sheetId="1" r:id="rId1"/>
    <sheet name="Verifica CPF" sheetId="2" state="hidden" r:id="rId2"/>
    <sheet name="Tabelas" sheetId="3" state="hidden" r:id="rId3"/>
    <sheet name="Dados" sheetId="4" state="hidden" r:id="rId4"/>
    <sheet name="Impressão Ficha de Entrada" sheetId="5" state="hidden" r:id="rId5"/>
    <sheet name="Dados Diarista" sheetId="6" state="hidden" r:id="rId6"/>
    <sheet name="Impressão 2 Diarista" sheetId="7" state="hidden" r:id="rId7"/>
    <sheet name="Dados Reserva" sheetId="8" state="hidden" r:id="rId8"/>
    <sheet name="Impressão Reserva" sheetId="9" state="hidden" r:id="rId9"/>
  </sheets>
  <definedNames>
    <definedName name="_xlnm.Print_Area" localSheetId="6">'Impressão 2 Diarista'!$A$1:$K$40</definedName>
    <definedName name="_xlnm.Print_Area" localSheetId="4">'Impressão Ficha de Entrada'!$A$1:$AW$58</definedName>
    <definedName name="_xlnm.Print_Area" localSheetId="8">'Impressão Reserva'!$A$1:$AW$66</definedName>
    <definedName name="Z_BA562366_A36C_43E5_A385_816C6D2E948F_.wvu.Cols" localSheetId="0" hidden="1">Menu!$Q:$XFD</definedName>
    <definedName name="Z_BA562366_A36C_43E5_A385_816C6D2E948F_.wvu.PrintArea" localSheetId="6" hidden="1">'Impressão 2 Diarista'!$A$1:$K$40</definedName>
    <definedName name="Z_BA562366_A36C_43E5_A385_816C6D2E948F_.wvu.PrintArea" localSheetId="4" hidden="1">'Impressão Ficha de Entrada'!$A$1:$AW$58</definedName>
    <definedName name="Z_BA562366_A36C_43E5_A385_816C6D2E948F_.wvu.PrintArea" localSheetId="8" hidden="1">'Impressão Reserva'!$A$1:$AW$66</definedName>
    <definedName name="Z_BA562366_A36C_43E5_A385_816C6D2E948F_.wvu.Rows" localSheetId="0" hidden="1">Menu!$23:$1048576</definedName>
  </definedNames>
  <calcPr calcId="145621"/>
  <customWorkbookViews>
    <customWorkbookView name="PC01 - Modo de exibição pessoal" guid="{AEF9E62C-83A9-4673-8233-4BD95CE1CD85}" mergeInterval="0" changesSavedWin="1" personalView="1" includePrintSettings="0" includeHiddenRowCol="0" maximized="1" windowWidth="996" windowHeight="561" tabRatio="775" activeSheetId="1"/>
    <customWorkbookView name="Cliente - Modo de exibição pessoal" guid="{BA562366-A36C-43E5-A385-816C6D2E948F}" mergeInterval="0" personalView="1" maximized="1" windowWidth="1013" windowHeight="503" tabRatio="775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3" i="7" l="1"/>
  <c r="A14" i="7" l="1"/>
  <c r="H2" i="7" l="1"/>
  <c r="K2" i="7" s="1"/>
  <c r="M13" i="7"/>
  <c r="C13" i="7" s="1"/>
  <c r="M14" i="7"/>
  <c r="C14" i="7" s="1"/>
  <c r="A15" i="7"/>
  <c r="A16" i="7" l="1"/>
  <c r="M15" i="7"/>
  <c r="C15" i="7" s="1"/>
  <c r="M16" i="7" l="1"/>
  <c r="C16" i="7" s="1"/>
  <c r="A17" i="7"/>
  <c r="A18" i="7" l="1"/>
  <c r="M17" i="7"/>
  <c r="C17" i="7" s="1"/>
  <c r="M18" i="7" l="1"/>
  <c r="C18" i="7" s="1"/>
  <c r="A19" i="7"/>
  <c r="A20" i="7" l="1"/>
  <c r="M19" i="7"/>
  <c r="C19" i="7" s="1"/>
  <c r="M20" i="7" l="1"/>
  <c r="C20" i="7" s="1"/>
  <c r="A21" i="7"/>
  <c r="A22" i="7" l="1"/>
  <c r="M21" i="7"/>
  <c r="C21" i="7" s="1"/>
  <c r="M22" i="7" l="1"/>
  <c r="C22" i="7" s="1"/>
  <c r="A23" i="7"/>
  <c r="A24" i="7" l="1"/>
  <c r="M23" i="7"/>
  <c r="C23" i="7" s="1"/>
  <c r="M24" i="7" l="1"/>
  <c r="C24" i="7" s="1"/>
  <c r="A25" i="7"/>
  <c r="A26" i="7" l="1"/>
  <c r="M25" i="7"/>
  <c r="C25" i="7" s="1"/>
  <c r="M26" i="7" l="1"/>
  <c r="C26" i="7" s="1"/>
  <c r="A27" i="7"/>
  <c r="A28" i="7" l="1"/>
  <c r="M27" i="7"/>
  <c r="C27" i="7" s="1"/>
  <c r="M28" i="7" l="1"/>
  <c r="C28" i="7" s="1"/>
  <c r="A29" i="7"/>
  <c r="A30" i="7" l="1"/>
  <c r="M30" i="7" s="1"/>
  <c r="C30" i="7" s="1"/>
  <c r="M29" i="7"/>
  <c r="C29" i="7" s="1"/>
  <c r="C15" i="2" l="1"/>
  <c r="E10" i="2"/>
  <c r="I10" i="2" s="1"/>
  <c r="L9" i="2"/>
  <c r="P9" i="2" s="1"/>
  <c r="E9" i="2"/>
  <c r="I9" i="2" s="1"/>
  <c r="L8" i="2"/>
  <c r="P8" i="2" s="1"/>
  <c r="E8" i="2"/>
  <c r="I8" i="2" s="1"/>
  <c r="L7" i="2"/>
  <c r="P7" i="2" s="1"/>
  <c r="E7" i="2"/>
  <c r="I7" i="2" s="1"/>
  <c r="L6" i="2"/>
  <c r="P6" i="2" s="1"/>
  <c r="E6" i="2"/>
  <c r="I6" i="2" s="1"/>
  <c r="L5" i="2"/>
  <c r="P5" i="2" s="1"/>
  <c r="E5" i="2"/>
  <c r="I5" i="2" s="1"/>
  <c r="L4" i="2"/>
  <c r="P4" i="2" s="1"/>
  <c r="E4" i="2"/>
  <c r="I4" i="2" s="1"/>
  <c r="L3" i="2"/>
  <c r="P3" i="2" s="1"/>
  <c r="E3" i="2"/>
  <c r="I3" i="2" s="1"/>
  <c r="L2" i="2"/>
  <c r="P2" i="2" s="1"/>
  <c r="E2" i="2"/>
  <c r="I2" i="2" s="1"/>
  <c r="I12" i="2" l="1"/>
  <c r="I13" i="2" s="1"/>
  <c r="I14" i="2" s="1"/>
  <c r="L10" i="2" s="1"/>
  <c r="P10" i="2" s="1"/>
  <c r="P12" i="2" s="1"/>
  <c r="P13" i="2" s="1"/>
  <c r="P14" i="2" s="1"/>
  <c r="C16" i="2" s="1"/>
  <c r="B3" i="2" s="1"/>
</calcChain>
</file>

<file path=xl/sharedStrings.xml><?xml version="1.0" encoding="utf-8"?>
<sst xmlns="http://schemas.openxmlformats.org/spreadsheetml/2006/main" count="1239" uniqueCount="669">
  <si>
    <t>CPF</t>
  </si>
  <si>
    <t>1º DÍGITO</t>
  </si>
  <si>
    <t>X</t>
  </si>
  <si>
    <t>=</t>
  </si>
  <si>
    <t>2º DÍGITO</t>
  </si>
  <si>
    <t>3º DÍGITO</t>
  </si>
  <si>
    <t>4º DÍGITO</t>
  </si>
  <si>
    <t>5º DÍGITO</t>
  </si>
  <si>
    <t>6º DÍGITO</t>
  </si>
  <si>
    <t>7º DÍGITO</t>
  </si>
  <si>
    <t>8º DÍGITO</t>
  </si>
  <si>
    <t>9º DÍGITO</t>
  </si>
  <si>
    <t>SOMA -&gt;</t>
  </si>
  <si>
    <t>RESTO -&gt;</t>
  </si>
  <si>
    <t>PRIMEIRO DÍGITO -&gt;</t>
  </si>
  <si>
    <t>SEGUNDO DÍGITO -&gt;</t>
  </si>
  <si>
    <t>DV DIGITADO</t>
  </si>
  <si>
    <t>DV CALCULADO</t>
  </si>
  <si>
    <t>FICHA DE ENTRADA - HOTEL LITORAL NORTE</t>
  </si>
  <si>
    <t>DATA ENTRADA:</t>
  </si>
  <si>
    <t>HORA:</t>
  </si>
  <si>
    <t>APTO Nº</t>
  </si>
  <si>
    <t>DATA SAÍDA:</t>
  </si>
  <si>
    <t>NOME:</t>
  </si>
  <si>
    <t>ENDEREÇO:</t>
  </si>
  <si>
    <t>Nº</t>
  </si>
  <si>
    <t>BAIRRO:</t>
  </si>
  <si>
    <t>CIDADE:</t>
  </si>
  <si>
    <t>ESTADO:</t>
  </si>
  <si>
    <t>CEP</t>
  </si>
  <si>
    <t>EMAIL</t>
  </si>
  <si>
    <t>TELEFONE:</t>
  </si>
  <si>
    <t>CEL.:</t>
  </si>
  <si>
    <t>RG.:</t>
  </si>
  <si>
    <t>CPF.:</t>
  </si>
  <si>
    <t>VEÍCULO:</t>
  </si>
  <si>
    <t>COR:</t>
  </si>
  <si>
    <t>PLACA:</t>
  </si>
  <si>
    <t>ACOMPANHANTES COM IDADE:</t>
  </si>
  <si>
    <t>ASSINATURA:</t>
  </si>
  <si>
    <t>AVISOS IMPORTANTES</t>
  </si>
  <si>
    <r>
      <t xml:space="preserve">1) TODA A ENERGIA DO HOTEL É </t>
    </r>
    <r>
      <rPr>
        <b/>
        <sz val="11"/>
        <color theme="1"/>
        <rFont val="Arial"/>
        <family val="2"/>
      </rPr>
      <t>220 VOLTS</t>
    </r>
  </si>
  <si>
    <t>2) É PROIBIDA A ENTRADA EM TRAJES DE BANHO EM NOSSO RESTAURANTE</t>
  </si>
  <si>
    <t>3) LEIA NOSSO REGULAMENTO INTERNO</t>
  </si>
  <si>
    <t>6) NÃO É PERMITIDO LEVAR TOALHAS DO HOTEL PARA A PISCINA OU PRAIA</t>
  </si>
  <si>
    <t>7) PROIBIDO O USO DE BRONZEADOR OU PROTETOR SOLAR NA PISCINA</t>
  </si>
  <si>
    <t>8) PROIBIDO A ENTRADA DE ANIMAIS OU PETS NA ÁREA DA PISCINA E RESTAURANTE</t>
  </si>
  <si>
    <t>10) NÃO É PERMITIDO VISITAS NO APARTAMENTO.</t>
  </si>
  <si>
    <r>
      <t xml:space="preserve">12) FAVOR ABRIR O REGISTRO DENTRO DO BOX SINALIZADO </t>
    </r>
    <r>
      <rPr>
        <b/>
        <sz val="11"/>
        <color theme="1"/>
        <rFont val="Arial"/>
        <family val="2"/>
      </rPr>
      <t>"ABRA AQUI"</t>
    </r>
  </si>
  <si>
    <t>13) HORÁRIO DAS REFEIÇÕES:</t>
  </si>
  <si>
    <t>CAFÉ:</t>
  </si>
  <si>
    <t>07:00 HORAS ÀS 10:00 HORAS</t>
  </si>
  <si>
    <t>SUA DIÁRIA TERMINA EM:</t>
  </si>
  <si>
    <t>ÀS</t>
  </si>
  <si>
    <t>HORAS</t>
  </si>
  <si>
    <r>
      <t xml:space="preserve">USE NOSSO SERVIÇO DE LAVANDERIA - </t>
    </r>
    <r>
      <rPr>
        <i/>
        <sz val="11"/>
        <color theme="1"/>
        <rFont val="Calibri"/>
        <family val="2"/>
        <scheme val="minor"/>
      </rPr>
      <t>Consulte na Recepção</t>
    </r>
  </si>
  <si>
    <t>O HOTEL LITORAL NORTE AGRADECE A PREFERÊNCIA</t>
  </si>
  <si>
    <t>RG</t>
  </si>
  <si>
    <t>NOME</t>
  </si>
  <si>
    <t>ENDEREÇO</t>
  </si>
  <si>
    <t>NUM</t>
  </si>
  <si>
    <t>BAIRRO</t>
  </si>
  <si>
    <t>CIDADE</t>
  </si>
  <si>
    <t>ESTADO</t>
  </si>
  <si>
    <t>FONE1</t>
  </si>
  <si>
    <t>FONE2</t>
  </si>
  <si>
    <t>MODELO</t>
  </si>
  <si>
    <t>COR</t>
  </si>
  <si>
    <t>PLACA</t>
  </si>
  <si>
    <t>COMPL</t>
  </si>
  <si>
    <t>SP</t>
  </si>
  <si>
    <t>DOM</t>
  </si>
  <si>
    <t>SEG</t>
  </si>
  <si>
    <t>TER</t>
  </si>
  <si>
    <t>QUA</t>
  </si>
  <si>
    <t>QUI</t>
  </si>
  <si>
    <t>SEX</t>
  </si>
  <si>
    <t>SAB</t>
  </si>
  <si>
    <t>Função</t>
  </si>
  <si>
    <t>Local Pagto</t>
  </si>
  <si>
    <t>Dias da Semana</t>
  </si>
  <si>
    <t>Ajudante de Cozinha</t>
  </si>
  <si>
    <t>Hotel Litoral Norte</t>
  </si>
  <si>
    <t>Camareira</t>
  </si>
  <si>
    <t>Hotel Mar</t>
  </si>
  <si>
    <t>Cumim</t>
  </si>
  <si>
    <t>Ajudante Geral</t>
  </si>
  <si>
    <t>Manutenção</t>
  </si>
  <si>
    <t>Recepção</t>
  </si>
  <si>
    <t>Porteiro</t>
  </si>
  <si>
    <t>SCAN_DOC</t>
  </si>
  <si>
    <t>preto</t>
  </si>
  <si>
    <t>Tipo</t>
  </si>
  <si>
    <t>Convênio</t>
  </si>
  <si>
    <t>Operador</t>
  </si>
  <si>
    <t>Faixa Preço</t>
  </si>
  <si>
    <t>Forma Adiantamento</t>
  </si>
  <si>
    <t>Café da Manhã</t>
  </si>
  <si>
    <t>Particular</t>
  </si>
  <si>
    <t>Semana Café</t>
  </si>
  <si>
    <t>Dinheiro</t>
  </si>
  <si>
    <t>Pensão Completa</t>
  </si>
  <si>
    <t>Representante</t>
  </si>
  <si>
    <t>Semana PC</t>
  </si>
  <si>
    <t>Cartão Crédito</t>
  </si>
  <si>
    <t>Grupo</t>
  </si>
  <si>
    <t>Marcelo</t>
  </si>
  <si>
    <t>FS Café</t>
  </si>
  <si>
    <t>Cartão Débito</t>
  </si>
  <si>
    <t>Rafael</t>
  </si>
  <si>
    <t>FS PC</t>
  </si>
  <si>
    <t>Depósito</t>
  </si>
  <si>
    <t>Planilha de Reservas</t>
  </si>
  <si>
    <t>Número:</t>
  </si>
  <si>
    <t>Data:</t>
  </si>
  <si>
    <t>Apto.:</t>
  </si>
  <si>
    <t>Casais:</t>
  </si>
  <si>
    <t>Diárias:</t>
  </si>
  <si>
    <t>Entrada:</t>
  </si>
  <si>
    <t>Saída:</t>
  </si>
  <si>
    <t>Tipo:</t>
  </si>
  <si>
    <t>Convênio:</t>
  </si>
  <si>
    <t>Operador:</t>
  </si>
  <si>
    <t>Hóspede:</t>
  </si>
  <si>
    <t>Docto.:</t>
  </si>
  <si>
    <t>Fone:</t>
  </si>
  <si>
    <t>Celular:</t>
  </si>
  <si>
    <t>Tipo Hóspede</t>
  </si>
  <si>
    <t>Quantidade</t>
  </si>
  <si>
    <t>Valor Unitário</t>
  </si>
  <si>
    <t>Valor Total</t>
  </si>
  <si>
    <t>Adultos</t>
  </si>
  <si>
    <t>Menores (00-04)</t>
  </si>
  <si>
    <t>Menores (05-08)</t>
  </si>
  <si>
    <t>Menores (09-12)</t>
  </si>
  <si>
    <t>TOTAL</t>
  </si>
  <si>
    <t>10% x Serviços</t>
  </si>
  <si>
    <t>Total Diárias</t>
  </si>
  <si>
    <t>Cartela</t>
  </si>
  <si>
    <t>Lavanderia</t>
  </si>
  <si>
    <t>Diversos</t>
  </si>
  <si>
    <t>Total Despesas</t>
  </si>
  <si>
    <t>Total Geral</t>
  </si>
  <si>
    <t>Adiantamento</t>
  </si>
  <si>
    <t>Restante a Pagar</t>
  </si>
  <si>
    <t>Sinal</t>
  </si>
  <si>
    <t>Desconto</t>
  </si>
  <si>
    <t>Valor Criança3</t>
  </si>
  <si>
    <t>Qtde Criança3</t>
  </si>
  <si>
    <t>valor Criança2</t>
  </si>
  <si>
    <t>Qtde Criança2</t>
  </si>
  <si>
    <t>Valor Criança1</t>
  </si>
  <si>
    <t>Qtde Criança1</t>
  </si>
  <si>
    <t>Valor Adulto</t>
  </si>
  <si>
    <t>Qtde Adulto</t>
  </si>
  <si>
    <t>Observação</t>
  </si>
  <si>
    <t>Faixa</t>
  </si>
  <si>
    <t>Celular</t>
  </si>
  <si>
    <t>Telefone</t>
  </si>
  <si>
    <t>Hóspede</t>
  </si>
  <si>
    <t>Diárias</t>
  </si>
  <si>
    <t>Hora Entrada</t>
  </si>
  <si>
    <t>Data Entrada</t>
  </si>
  <si>
    <t>Data Reserva</t>
  </si>
  <si>
    <t>Número Reserva</t>
  </si>
  <si>
    <t>Sistema</t>
  </si>
  <si>
    <t>Itens</t>
  </si>
  <si>
    <t>Tahoma</t>
  </si>
  <si>
    <t>negrito</t>
  </si>
  <si>
    <t>18:00 H</t>
  </si>
  <si>
    <t>Titulo</t>
  </si>
  <si>
    <t>12:00 H</t>
  </si>
  <si>
    <t>box</t>
  </si>
  <si>
    <t>regular</t>
  </si>
  <si>
    <t>Ana Paula</t>
  </si>
  <si>
    <t>William</t>
  </si>
  <si>
    <t>Claudinei</t>
  </si>
  <si>
    <t>MÊS:</t>
  </si>
  <si>
    <t>ANO:</t>
  </si>
  <si>
    <t>HOTEL LITORAL NORTE</t>
  </si>
  <si>
    <t>YAN TASSIO CLEMENTINO PEREIRA</t>
  </si>
  <si>
    <t>(12)3883-5794</t>
  </si>
  <si>
    <t>WILSON ANTONIO TOLEDO</t>
  </si>
  <si>
    <t>(12)99641-7887</t>
  </si>
  <si>
    <t>WILLIAN SALES GABRIEL</t>
  </si>
  <si>
    <t>(12) 99771-3675</t>
  </si>
  <si>
    <t>WILLIAM TAVARES DOS SANTOS</t>
  </si>
  <si>
    <t>(12)98182-7989</t>
  </si>
  <si>
    <t>(12) 3861-3343</t>
  </si>
  <si>
    <t>WANDERSON HENRIQUE MIGUEL RICARDO</t>
  </si>
  <si>
    <t>(12) 98237-1044</t>
  </si>
  <si>
    <t>WANDERSON DIEGO DOS SANTOS (DINHO)</t>
  </si>
  <si>
    <t>(12) 99622-6698</t>
  </si>
  <si>
    <t>WANDERLEY LOPES DE OLIVEIRA</t>
  </si>
  <si>
    <t>Motorista</t>
  </si>
  <si>
    <t>(12) 99205-0057</t>
  </si>
  <si>
    <t>WALTER LUIZ DA SILVA FONTES</t>
  </si>
  <si>
    <t>(12) 3881-2956</t>
  </si>
  <si>
    <t>VITOR ALVES</t>
  </si>
  <si>
    <t>(12) 98283-4060</t>
  </si>
  <si>
    <t>VILMA SILVA TAMEIRÃO</t>
  </si>
  <si>
    <t>Aj. Cozinha</t>
  </si>
  <si>
    <t>(12) 98181-1248</t>
  </si>
  <si>
    <t>VICTOR AFONSO SILVA OLIVEIRA</t>
  </si>
  <si>
    <t>(12) 98200-0701</t>
  </si>
  <si>
    <t>VANUZA RODRIGUES DA SILVA</t>
  </si>
  <si>
    <t>(12)99705-9947</t>
  </si>
  <si>
    <t>VANESSA CRISTINA SOUZA DE OLIVEIRA</t>
  </si>
  <si>
    <t>(12) 99676-1281</t>
  </si>
  <si>
    <t>VALDIRENE LOPES DE SOUZA</t>
  </si>
  <si>
    <t>(11) 98430-2905</t>
  </si>
  <si>
    <t>VALDECI MOREIRA DOS NASCIMENTO</t>
  </si>
  <si>
    <t>(12) 98238-2885</t>
  </si>
  <si>
    <t>THOMAS OSTAN MORTENSEN FERREIRA</t>
  </si>
  <si>
    <t>(12) 99711-3946</t>
  </si>
  <si>
    <t>THIAGO CARLOS AZEVEDO</t>
  </si>
  <si>
    <t>(12) 98207-0105</t>
  </si>
  <si>
    <t>THAYNÁ CAMARGO FERRAZ</t>
  </si>
  <si>
    <t>(12) 98820-7163</t>
  </si>
  <si>
    <t>THALES RODRIGUES DOS SANTOS</t>
  </si>
  <si>
    <t>(12) 97835387</t>
  </si>
  <si>
    <t>THAINARA MIRANDA DOMINGOS</t>
  </si>
  <si>
    <t>(12) 99820-7105</t>
  </si>
  <si>
    <t>TAYNÁ CAMARGO FERRAZ</t>
  </si>
  <si>
    <t>(12)99652-5779</t>
  </si>
  <si>
    <t>TAILA MONIQUE ALMEIDA DA SILVA</t>
  </si>
  <si>
    <t>SUELI FATIMA FERNANDES</t>
  </si>
  <si>
    <t>(12)99724-3749</t>
  </si>
  <si>
    <t>SOLANGE APARECIDA DOS SANTOS</t>
  </si>
  <si>
    <t>(12) 892729320</t>
  </si>
  <si>
    <t>SILVIO SOUZA</t>
  </si>
  <si>
    <t>(12)99790-1083</t>
  </si>
  <si>
    <t>SILVIA APARECIDA DOS SANTOS</t>
  </si>
  <si>
    <t>HOTEL MAR</t>
  </si>
  <si>
    <t>(12) 98228-0520</t>
  </si>
  <si>
    <t>SILAS LUIZ DE BRITO</t>
  </si>
  <si>
    <t>(12) 98284-3830</t>
  </si>
  <si>
    <t>SEBASTIÃO MATES VIEIRA</t>
  </si>
  <si>
    <t>(12)9.8182-6228</t>
  </si>
  <si>
    <t>ROSEMARY AUGUSTA DE SIQUEIRA SILVA JUNQUEIRA</t>
  </si>
  <si>
    <t>(12) 98175-5349</t>
  </si>
  <si>
    <t>ROSANGELA BARBOSA COIMBRA</t>
  </si>
  <si>
    <t>(11) 94316-7846</t>
  </si>
  <si>
    <t>ROSAMELHA GOMES DA SILVA</t>
  </si>
  <si>
    <t>RODRIGO DE ALMEIDA PEREIRA</t>
  </si>
  <si>
    <t>Aux. Manutenção</t>
  </si>
  <si>
    <t>(12) 99146-2525</t>
  </si>
  <si>
    <t>RINALDO SERGIO SAES</t>
  </si>
  <si>
    <t>PORTEIRO</t>
  </si>
  <si>
    <t>(12)98182-3012</t>
  </si>
  <si>
    <t xml:space="preserve">RENATA GOMES </t>
  </si>
  <si>
    <t>CAMAREIRA</t>
  </si>
  <si>
    <t>(12)99626-9839</t>
  </si>
  <si>
    <t xml:space="preserve">RAYNA MARCILIA </t>
  </si>
  <si>
    <t>(12) 98128-5991</t>
  </si>
  <si>
    <t>(12) 99166-3284</t>
  </si>
  <si>
    <t>RAFAEL  DE ARAÚJO SILVA</t>
  </si>
  <si>
    <t>(12) 99665-2214</t>
  </si>
  <si>
    <t>PAULO HENRIQUE PRATES</t>
  </si>
  <si>
    <t>(12) 988886213</t>
  </si>
  <si>
    <t>NICOLAS JORDÃO NUNES PEDRA</t>
  </si>
  <si>
    <t>(12) 981296160</t>
  </si>
  <si>
    <t>NATALIA MARCONDES BALIEIRO</t>
  </si>
  <si>
    <t>MIRIAN MARGARETE VICTORIO</t>
  </si>
  <si>
    <t>(12) 98239-3909</t>
  </si>
  <si>
    <t>MIKAELI SANTOS ANDRADE</t>
  </si>
  <si>
    <t>(12) 98226-6371</t>
  </si>
  <si>
    <t>MARLI PEREIRA LIMA</t>
  </si>
  <si>
    <t>(12) 99610-6903</t>
  </si>
  <si>
    <t>MARIANA DE OLIVEIRA MATOS NASCIMENTO</t>
  </si>
  <si>
    <t>MARIA FLAUZA PINHEIRO ALVES</t>
  </si>
  <si>
    <t>(12) 99197-7144</t>
  </si>
  <si>
    <t>MARIA DE CÉLIA SANTANA</t>
  </si>
  <si>
    <t>(12) 99741-5999</t>
  </si>
  <si>
    <t>MARIA APARECIDA LARA MOURA</t>
  </si>
  <si>
    <t>(12)9626-9839</t>
  </si>
  <si>
    <t>MARGARETE SANTOS SOUZA</t>
  </si>
  <si>
    <t>(12)9133-3581</t>
  </si>
  <si>
    <t xml:space="preserve">MARGARETE DE SOUZA GOMES </t>
  </si>
  <si>
    <t>Enc. Recepção</t>
  </si>
  <si>
    <t>(12) 3883-3307</t>
  </si>
  <si>
    <t>MAIZA DE OLIVEIRA DA SILVA</t>
  </si>
  <si>
    <t>Enc. Manutenção</t>
  </si>
  <si>
    <t>(12) 98839-7100</t>
  </si>
  <si>
    <t>LUIZ PEREIRA DA PENHA</t>
  </si>
  <si>
    <t>(12) 99726-2311</t>
  </si>
  <si>
    <t>LUIZ HENRIQUE BAPTISTA</t>
  </si>
  <si>
    <t>(12) 98899-8677</t>
  </si>
  <si>
    <t>LUIS HENRIQUE BAPTISTA DE ALMEIDA</t>
  </si>
  <si>
    <t>(12) 99745-6242</t>
  </si>
  <si>
    <t>LUCIMARA DOS SANTOS</t>
  </si>
  <si>
    <t>(12) 99653-3453</t>
  </si>
  <si>
    <t>LUCIANQA OLIVEIRA SOUZA SILVA</t>
  </si>
  <si>
    <t>(12) 98233-6883</t>
  </si>
  <si>
    <t>LUCIANA DOS SANTOS BARBOSA</t>
  </si>
  <si>
    <t>(12)9.9627-6387</t>
  </si>
  <si>
    <t>LUCIANA APARECIDA INACIO</t>
  </si>
  <si>
    <t>(12)99672-4539</t>
  </si>
  <si>
    <t>LUCAS VINICIOS</t>
  </si>
  <si>
    <t>(12)98204-1697</t>
  </si>
  <si>
    <t>LUCAS HENRIQUE ALVES DOS SANTOS</t>
  </si>
  <si>
    <t>CUMIM</t>
  </si>
  <si>
    <t>(12)99197-4103</t>
  </si>
  <si>
    <t xml:space="preserve">LEONARDO SILVA ARAUJO </t>
  </si>
  <si>
    <t>(12) 99745-7233</t>
  </si>
  <si>
    <t>Leila da Cruz Pardinho</t>
  </si>
  <si>
    <t>(12)982458566</t>
  </si>
  <si>
    <t xml:space="preserve">LARISSA LESSA FERREIRA </t>
  </si>
  <si>
    <t>(12) 99642-0635</t>
  </si>
  <si>
    <t>JOSUÉ ALVES DA SILVA</t>
  </si>
  <si>
    <t>Enc. Garçom</t>
  </si>
  <si>
    <t>(12) 98236-7699</t>
  </si>
  <si>
    <t>JOSÉ ALDAIR DE SOUZA VIANA</t>
  </si>
  <si>
    <t>(12) 99818-7799</t>
  </si>
  <si>
    <t>JOCIELEN LIMA DOS SANTOS</t>
  </si>
  <si>
    <t>JENIFER TAINÁ RODRIGUES SANTOS</t>
  </si>
  <si>
    <t>(12)98859-7251</t>
  </si>
  <si>
    <t>JENIFER APARECIDA FERREIRA SILVA</t>
  </si>
  <si>
    <t>(12)99607-1101</t>
  </si>
  <si>
    <t>JEFFERSON DURAES DA SILVA</t>
  </si>
  <si>
    <t>Aj.Cozinha</t>
  </si>
  <si>
    <t>(12) 99754-6722</t>
  </si>
  <si>
    <t>JACQUES AMORIN</t>
  </si>
  <si>
    <t>(12)9751-2922</t>
  </si>
  <si>
    <t>IVONE BELASQUES</t>
  </si>
  <si>
    <t>(12) 97053-9173</t>
  </si>
  <si>
    <t>IVONE ARAUJO GOMES DE OLIVEIRA</t>
  </si>
  <si>
    <t>(12) 98265-9841</t>
  </si>
  <si>
    <t>IVANA NUNES</t>
  </si>
  <si>
    <t>(12) 98894-9269</t>
  </si>
  <si>
    <t>ISMAEL MIRANDA SÁ</t>
  </si>
  <si>
    <t>Cozinheiro</t>
  </si>
  <si>
    <t>(12) 98245-8566</t>
  </si>
  <si>
    <t>ISMAEL BRASILINO PEREIRA</t>
  </si>
  <si>
    <t>(12) 98283-8737</t>
  </si>
  <si>
    <t>IANCA LEITE DOS SANTOS</t>
  </si>
  <si>
    <t>(12)98243-7772</t>
  </si>
  <si>
    <t>HUGO CELSO CAPUCHO</t>
  </si>
  <si>
    <t>(12) 98299-6080</t>
  </si>
  <si>
    <t>HENRIQUE YAMAGUISHI DA SILVA</t>
  </si>
  <si>
    <t>(12) 99634-2599</t>
  </si>
  <si>
    <t>GABRIEL GOMES CARDOSO</t>
  </si>
  <si>
    <t>(12) 99769-4516</t>
  </si>
  <si>
    <t>GABRIEL BERNARDINO DE LUCENA</t>
  </si>
  <si>
    <t>(12) 98892-7328</t>
  </si>
  <si>
    <t>FLAVIO CARVALHO DE OLIVEIRA</t>
  </si>
  <si>
    <t>FABIO RODRIGUES</t>
  </si>
  <si>
    <t>(12)99622-4070</t>
  </si>
  <si>
    <t>(12) 99106-2360</t>
  </si>
  <si>
    <t>FABIO ENEAS PEREIRA DA SILVA</t>
  </si>
  <si>
    <t>(12) 98168-6296</t>
  </si>
  <si>
    <t>EVANDRO HENRIQUE DE SOUZA</t>
  </si>
  <si>
    <t>(12) 98104-5130</t>
  </si>
  <si>
    <t>ERICA BARBOSA DE SOUZA</t>
  </si>
  <si>
    <t>(12)98210-8856</t>
  </si>
  <si>
    <t xml:space="preserve">ELIAMA PEREIRA SILVA DE CERQUEIRA </t>
  </si>
  <si>
    <t>(12)99768-1668</t>
  </si>
  <si>
    <t>ELAINE CRISTINA DA SILVA</t>
  </si>
  <si>
    <t>(12) 3887-7219 - (12) 98123-1924</t>
  </si>
  <si>
    <t>EDUARDO FREIMAN RÊGO</t>
  </si>
  <si>
    <t>(12)98216-5713</t>
  </si>
  <si>
    <t>EDUARDO DE OLIVEIRA SANTOS</t>
  </si>
  <si>
    <t>DIEGO GOMES SILVA BORGES</t>
  </si>
  <si>
    <t>(12) 99605-8389</t>
  </si>
  <si>
    <t>DANIEL DA SILVA DE AGUILAR</t>
  </si>
  <si>
    <t>(12)98259-6985</t>
  </si>
  <si>
    <t xml:space="preserve">DANIEL ALEXANDRE DOS SANTOS SILVA </t>
  </si>
  <si>
    <t>(12) 98116-4901</t>
  </si>
  <si>
    <t>DANDARA CASSANDRA</t>
  </si>
  <si>
    <t>(12) 98109-3216</t>
  </si>
  <si>
    <t>DAIANE GASPAR DO PRADO</t>
  </si>
  <si>
    <t>(12) 98184-4320</t>
  </si>
  <si>
    <t>DAIANE CAROLINE DOS SANTOS</t>
  </si>
  <si>
    <t>(12) 3888-2339</t>
  </si>
  <si>
    <t>DAGMAR VIEIRA DA SILVA</t>
  </si>
  <si>
    <t>CRISTIANO JOSE DA SILVA GONÇALVES</t>
  </si>
  <si>
    <t>(12) 98159-9632</t>
  </si>
  <si>
    <t>CLEUSA RIBEIRO DA CRUZ</t>
  </si>
  <si>
    <t>(11) 96230-0967</t>
  </si>
  <si>
    <t xml:space="preserve">CINTHIA PARISI DA SILVA </t>
  </si>
  <si>
    <t xml:space="preserve">Cassia Gonçalves Vieira </t>
  </si>
  <si>
    <t>(12) 99678-0291</t>
  </si>
  <si>
    <t>CARLA SULAMITA NASCIMENTO DE SOUZA</t>
  </si>
  <si>
    <t>(12) 99618-4234</t>
  </si>
  <si>
    <t>CAMILA APARECIDA DE BRITO</t>
  </si>
  <si>
    <t>(12) 99766-1145</t>
  </si>
  <si>
    <t>BENEDITO ALVES DOS SANTOS NETO</t>
  </si>
  <si>
    <t>Cozinheira</t>
  </si>
  <si>
    <t>(12) 99703-8469</t>
  </si>
  <si>
    <t>ANDRESSA ALVES DE OLIVEIRA SANTOS</t>
  </si>
  <si>
    <t xml:space="preserve">ANA LUCIA DO SANTOS </t>
  </si>
  <si>
    <t>(12)98162-4481</t>
  </si>
  <si>
    <t>ANA CLEIA RODRIGUES MENEZES</t>
  </si>
  <si>
    <t>(12) 98183-2493</t>
  </si>
  <si>
    <t>ANA CAROLINA CARVALHO DA SILVA</t>
  </si>
  <si>
    <t>(12) 98828-7981</t>
  </si>
  <si>
    <t>ANA ALVES DE OLIVEIRA</t>
  </si>
  <si>
    <t>(12) 98145-5055</t>
  </si>
  <si>
    <t>ALISON DA SILVA CORTES</t>
  </si>
  <si>
    <t xml:space="preserve">ALINE MADEIRA </t>
  </si>
  <si>
    <t>(12) 982367699</t>
  </si>
  <si>
    <t>ALEX SAMUEL TEODORO</t>
  </si>
  <si>
    <t>(14) 99852-8059</t>
  </si>
  <si>
    <t>ALAN PEREIRA  DE LEONCIO</t>
  </si>
  <si>
    <t>(12) 99115-6777</t>
  </si>
  <si>
    <t>ADRIEL VINICIO FERREIRA NASCIMENTO</t>
  </si>
  <si>
    <t>(12) 98225-7566</t>
  </si>
  <si>
    <t>ADRIEL TOLEDO SOARES SANTOS</t>
  </si>
  <si>
    <t>ADRIANA DA SILVA</t>
  </si>
  <si>
    <t>Coluna1</t>
  </si>
  <si>
    <t>CONTROLE DE DIARISTAS</t>
  </si>
  <si>
    <t>REFERÊNCIA:</t>
  </si>
  <si>
    <t xml:space="preserve"> NOME:</t>
  </si>
  <si>
    <t xml:space="preserve"> TELEFONE:</t>
  </si>
  <si>
    <t>Residencial:</t>
  </si>
  <si>
    <t xml:space="preserve"> FUNÇÃO:</t>
  </si>
  <si>
    <t xml:space="preserve"> VALOR DIÁRIA:</t>
  </si>
  <si>
    <t xml:space="preserve"> VALE TRANSPORTE (IDA E VOLTA):</t>
  </si>
  <si>
    <t xml:space="preserve"> LOCAL PARA PAGAMENTO:</t>
  </si>
  <si>
    <t>DATA</t>
  </si>
  <si>
    <t>PRESTADOR</t>
  </si>
  <si>
    <t>ENCARREGADO</t>
  </si>
  <si>
    <t>OBSERVAÇÃO</t>
  </si>
  <si>
    <t>Nome</t>
  </si>
  <si>
    <t>Telefone1</t>
  </si>
  <si>
    <t>Telefone2</t>
  </si>
  <si>
    <t>Diária</t>
  </si>
  <si>
    <t>VT</t>
  </si>
  <si>
    <t>ABILENE OLIVEIRA DA SILVA</t>
  </si>
  <si>
    <t>(12)98144-9779</t>
  </si>
  <si>
    <t>(12) 99607-8263</t>
  </si>
  <si>
    <t>(12) 99719-3589</t>
  </si>
  <si>
    <t>ANDERSON ALVES FRAÇA</t>
  </si>
  <si>
    <t>(12) 99606-4124</t>
  </si>
  <si>
    <t>(12) 98149-1087</t>
  </si>
  <si>
    <t>(12) 3887-7247</t>
  </si>
  <si>
    <t>CLAUDIA VALERIA SILVA</t>
  </si>
  <si>
    <t>(12) 99608-6978</t>
  </si>
  <si>
    <t>(12)99645-4486</t>
  </si>
  <si>
    <t>(11)97095-6452 "whatapp" - (11)97149-2041 "recado"</t>
  </si>
  <si>
    <t>fabio montagner</t>
  </si>
  <si>
    <t>cumim</t>
  </si>
  <si>
    <t>(11)74287365</t>
  </si>
  <si>
    <t>GILSONIA RAMOS DE ALMEIDA PRATES</t>
  </si>
  <si>
    <t>(12) 98108-7670</t>
  </si>
  <si>
    <t>Enc. Camareira</t>
  </si>
  <si>
    <t>(12) 98703-1487</t>
  </si>
  <si>
    <t>(12) 97596814</t>
  </si>
  <si>
    <t>(12) 98234-3513</t>
  </si>
  <si>
    <t>ODETE APARECIDA FARIA</t>
  </si>
  <si>
    <t>(12) 99710-6437</t>
  </si>
  <si>
    <t>(12) 99700-7149</t>
  </si>
  <si>
    <t>HOTEL FAZENDA</t>
  </si>
  <si>
    <t>(12) 3881-3029</t>
  </si>
  <si>
    <t>(12) 99602-3239</t>
  </si>
  <si>
    <t>WESLI SILVA DE ALMEIDA</t>
  </si>
  <si>
    <t>(12) 98846-8668</t>
  </si>
  <si>
    <t>(CPF):</t>
  </si>
  <si>
    <t>Desconto:</t>
  </si>
  <si>
    <t>%</t>
  </si>
  <si>
    <t>Observações:</t>
  </si>
  <si>
    <t>OBSERVAÇÕES:</t>
  </si>
  <si>
    <t>314.527.308-65</t>
  </si>
  <si>
    <t>26/7/2017</t>
  </si>
  <si>
    <t>28/07/2017</t>
  </si>
  <si>
    <t>WELINGTON DE FREITAS</t>
  </si>
  <si>
    <t>340.134.698-98</t>
  </si>
  <si>
    <t>11-96286-8894</t>
  </si>
  <si>
    <t>11-96656-2554</t>
  </si>
  <si>
    <t>Vai enviar comprovante de depósito via whatsapp. Hóspede tem preferência do 1º andar. Uma das duas pontas. Reservar 02 aptos.</t>
  </si>
  <si>
    <t>16:00 H</t>
  </si>
  <si>
    <t>0,00</t>
  </si>
  <si>
    <t>31/7/2017</t>
  </si>
  <si>
    <t>LUIS CARLOS HESPANHOLETTO</t>
  </si>
  <si>
    <t>11-45848488</t>
  </si>
  <si>
    <t>11-97478-1814</t>
  </si>
  <si>
    <t>FULANO</t>
  </si>
  <si>
    <t>342.142.343-24</t>
  </si>
  <si>
    <t>JHGVKHFKH KGH KHG HGHKG H G GHGGH KJ</t>
  </si>
  <si>
    <t>80,00</t>
  </si>
  <si>
    <t>SUELLY DOS SANTOS PEDRO SANTANA</t>
  </si>
  <si>
    <t>479.508.558-78</t>
  </si>
  <si>
    <t>12-99616-1246</t>
  </si>
  <si>
    <t>ADOLFO MAGALHAES</t>
  </si>
  <si>
    <t>261.185.051-87</t>
  </si>
  <si>
    <t>DIEGO</t>
  </si>
  <si>
    <t>16/8/2017</t>
  </si>
  <si>
    <t>17/12/2017</t>
  </si>
  <si>
    <t>DILMA APARECIDA MOISES</t>
  </si>
  <si>
    <t>030.479.448-14</t>
  </si>
  <si>
    <t>15-99623-1677</t>
  </si>
  <si>
    <t>14-98170-3235</t>
  </si>
  <si>
    <t>PRECO DA BOOKING. COMBINADO COM RAFAEL</t>
  </si>
  <si>
    <t>AJUSTADO PREÇO BOOKING</t>
  </si>
  <si>
    <t>20/8/2017</t>
  </si>
  <si>
    <t>15/09/2017</t>
  </si>
  <si>
    <t xml:space="preserve">SHEILA TREPICHIO </t>
  </si>
  <si>
    <t>037.527.098-12</t>
  </si>
  <si>
    <t>12-99174-5808</t>
  </si>
  <si>
    <t>fht1103@hotmail.com</t>
  </si>
  <si>
    <t xml:space="preserve"> </t>
  </si>
  <si>
    <t>4) ENTREGAR A CHAVE NO MOMENTO DO CHECK-OUT</t>
  </si>
  <si>
    <t>SERGIO MONTEIRO</t>
  </si>
  <si>
    <t>19-9-9145-2669</t>
  </si>
  <si>
    <t>PET PEQUENO - CORTESIA</t>
  </si>
  <si>
    <t>14/11/2017</t>
  </si>
  <si>
    <t>GISLAINE ALVES DE FREITAS</t>
  </si>
  <si>
    <t>AURELIO GONZAGUES JR</t>
  </si>
  <si>
    <t>11-94364-0404</t>
  </si>
  <si>
    <t>Bariuque</t>
  </si>
  <si>
    <t>Hóspede exigiu 2º andar. Laterais</t>
  </si>
  <si>
    <t>ANAIDE MORENO DA SILVA</t>
  </si>
  <si>
    <t>11-98276-8787</t>
  </si>
  <si>
    <t>BARUQUE</t>
  </si>
  <si>
    <t>HÓSPEDE TEM PREFERENCIA, PRIMEIRO ANDAR, LATERAIS.</t>
  </si>
  <si>
    <t>17/01/2018</t>
  </si>
  <si>
    <t>LARISSA LIONCIO FERNANDES</t>
  </si>
  <si>
    <t>11-981340721</t>
  </si>
  <si>
    <t>Aguardando depósito</t>
  </si>
  <si>
    <t>16/12/2017</t>
  </si>
  <si>
    <t>Marcelo Vitorino de Souza</t>
  </si>
  <si>
    <t>12-991762439</t>
  </si>
  <si>
    <t>12-991656992</t>
  </si>
  <si>
    <t>93,5</t>
  </si>
  <si>
    <t>112,2</t>
  </si>
  <si>
    <t>19/12/2017</t>
  </si>
  <si>
    <t>WEMERSON NUNES DE LIRA</t>
  </si>
  <si>
    <t>11-954895489</t>
  </si>
  <si>
    <t>11-940400971</t>
  </si>
  <si>
    <t>156,6</t>
  </si>
  <si>
    <t>14/12/2017</t>
  </si>
  <si>
    <t>EDNÉIA APARECIDA OLIVEIRA DE FREITAS</t>
  </si>
  <si>
    <t>11-98407-4359</t>
  </si>
  <si>
    <t>11-94836-2469</t>
  </si>
  <si>
    <t>Pre-Reserva por WhatsApp, aguardando depósito na sexta-feira</t>
  </si>
  <si>
    <t>102,5</t>
  </si>
  <si>
    <t>247,5</t>
  </si>
  <si>
    <t>11-99711-4813</t>
  </si>
  <si>
    <t>FABIO COSTA AGUILAR</t>
  </si>
  <si>
    <t>332.641.828-07</t>
  </si>
  <si>
    <t>11-92739-1057</t>
  </si>
  <si>
    <t>11-5354-8556</t>
  </si>
  <si>
    <t>Depósito na Seg. ou Ter. - vai enviar comprovante por whatsapp</t>
  </si>
  <si>
    <t>13/01/2018</t>
  </si>
  <si>
    <t>26/01/2018</t>
  </si>
  <si>
    <t>Edil Fernando</t>
  </si>
  <si>
    <t>12-99126-2841</t>
  </si>
  <si>
    <t>Contato por Whatsapp. Aguardando depósito na terça-feira.</t>
  </si>
  <si>
    <t>25/01/2018</t>
  </si>
  <si>
    <t>27/01/2018</t>
  </si>
  <si>
    <t>FABIO LOURENÇO</t>
  </si>
  <si>
    <t>11-96286-1932</t>
  </si>
  <si>
    <t>106,66</t>
  </si>
  <si>
    <t>30/01/2018</t>
  </si>
  <si>
    <t>.</t>
  </si>
  <si>
    <t>16/02/2018</t>
  </si>
  <si>
    <t>DEBORA ARGENTIN VALENÇA</t>
  </si>
  <si>
    <t>11 94726-3184</t>
  </si>
  <si>
    <t>DOIS APARTAMENTOS</t>
  </si>
  <si>
    <t>MARCIO FERNANDES</t>
  </si>
  <si>
    <t>11 94015-6009</t>
  </si>
  <si>
    <t>PRÉ RESERVA - AGUARDANDO CONFIRMAÇÃO (CARTÃO) - 31/01/2018</t>
  </si>
  <si>
    <t>RAFAEL OLIVEIRA SANTOS PIMENTEL</t>
  </si>
  <si>
    <t>11 99712-0282</t>
  </si>
  <si>
    <t>11 94311-5272</t>
  </si>
  <si>
    <t>TRANSFERENCIA BANCÁRIA ATÉ 12:00</t>
  </si>
  <si>
    <t>LUANA CARVALHO ALMEIDA</t>
  </si>
  <si>
    <t>16 98162-4179</t>
  </si>
  <si>
    <t>16/04/2018</t>
  </si>
  <si>
    <t>Cafe</t>
  </si>
  <si>
    <t>fabio Rafael Coelho Pereira</t>
  </si>
  <si>
    <t>9 9174-3431</t>
  </si>
  <si>
    <t>Welliton</t>
  </si>
  <si>
    <t>70,00</t>
  </si>
  <si>
    <t>Peracio Pizetta</t>
  </si>
  <si>
    <t>214.258.507-82</t>
  </si>
  <si>
    <t>27 99971-3412</t>
  </si>
  <si>
    <t>preferencia 2 andar</t>
  </si>
  <si>
    <t>190,00</t>
  </si>
  <si>
    <t>85,00</t>
  </si>
  <si>
    <t>17/04/2018</t>
  </si>
  <si>
    <t>18/04/2018</t>
  </si>
  <si>
    <t>Leandro dorneles</t>
  </si>
  <si>
    <t>506.667.200-10</t>
  </si>
  <si>
    <t>11 9 7015-1032</t>
  </si>
  <si>
    <t>Welliton teixeira</t>
  </si>
  <si>
    <t>20/04/2018</t>
  </si>
  <si>
    <t>Grazielli Santos de Oliveira</t>
  </si>
  <si>
    <t>339.211.518-56</t>
  </si>
  <si>
    <t>11 9 5763-1944</t>
  </si>
  <si>
    <t>160,00</t>
  </si>
  <si>
    <t>Cliente ciente de ap anexo</t>
  </si>
  <si>
    <t xml:space="preserve">Sunara Kajya </t>
  </si>
  <si>
    <t>260.472.008-69</t>
  </si>
  <si>
    <t>11 9 8887-8910</t>
  </si>
  <si>
    <t>140,00</t>
  </si>
  <si>
    <t>Talita Maria Da Costa</t>
  </si>
  <si>
    <t>262.849.638-55</t>
  </si>
  <si>
    <t>11 97984-9824</t>
  </si>
  <si>
    <t>11 2544-4550</t>
  </si>
  <si>
    <t>prerencia 1 andar</t>
  </si>
  <si>
    <t>100,00</t>
  </si>
  <si>
    <t>600,00</t>
  </si>
  <si>
    <t>ROGERIO PAGLIALI</t>
  </si>
  <si>
    <t>11-96445-0126</t>
  </si>
  <si>
    <t>30/05/2018</t>
  </si>
  <si>
    <t>Coopmil</t>
  </si>
  <si>
    <t>ANDERSON SARAIVA GARCIA</t>
  </si>
  <si>
    <t>APTO 52 (NÃO MUDAR. POR FAVOR).</t>
  </si>
  <si>
    <t>29/05/2018</t>
  </si>
  <si>
    <t>31/05/2018</t>
  </si>
  <si>
    <t>MARIO (DR)</t>
  </si>
  <si>
    <t>16/06/2018</t>
  </si>
  <si>
    <t>ADOLFO MAGALHÃES FEIJÓ</t>
  </si>
  <si>
    <t>11-95001-5973</t>
  </si>
  <si>
    <t>DOC EFETUADO</t>
  </si>
  <si>
    <t>23/06/2018</t>
  </si>
  <si>
    <t>BÁRBARA FERNANDA DE OLIVEIRA CIPRIANO</t>
  </si>
  <si>
    <t>11-98067-8154</t>
  </si>
  <si>
    <t>25/06/2018</t>
  </si>
  <si>
    <t>MICHELE B. GUIMARÃES</t>
  </si>
  <si>
    <t>11-96651-8211</t>
  </si>
  <si>
    <t>11-3974-2944</t>
  </si>
  <si>
    <t>Caraguatatuba</t>
  </si>
  <si>
    <t>26/06/2018</t>
  </si>
  <si>
    <t>30/06/2018</t>
  </si>
  <si>
    <t>ANA PAULA PEREIRA</t>
  </si>
  <si>
    <t>19 98180-8721</t>
  </si>
  <si>
    <t>Aguardando Depósito Bancário</t>
  </si>
  <si>
    <t>JOSÉ FELIPE CHAVES</t>
  </si>
  <si>
    <t>11-2054-1950</t>
  </si>
  <si>
    <t>11-97546-5658</t>
  </si>
  <si>
    <t>sdosfldskmflkedmlodf</t>
  </si>
  <si>
    <t>214.656.232-63</t>
  </si>
  <si>
    <t>dsfdsfsdf</t>
  </si>
  <si>
    <t>Wsfd</t>
  </si>
  <si>
    <t>sddfs</t>
  </si>
  <si>
    <t>23/12/2018</t>
  </si>
  <si>
    <t>Cafe da manha</t>
  </si>
  <si>
    <t>Daniel  bezerra</t>
  </si>
  <si>
    <t>259.488.958-07</t>
  </si>
  <si>
    <t>1196726-6548</t>
  </si>
  <si>
    <t>adicionar um cachorro pequeno porte</t>
  </si>
  <si>
    <t>150,00</t>
  </si>
  <si>
    <t>112,50</t>
  </si>
  <si>
    <t>685,00</t>
  </si>
  <si>
    <t>16/07/2018</t>
  </si>
  <si>
    <t>18/07/2018</t>
  </si>
  <si>
    <t>Márcia Roseli Amaral Medeiros Tamborra</t>
  </si>
  <si>
    <t>054077908-31</t>
  </si>
  <si>
    <t>11 46165107</t>
  </si>
  <si>
    <t>Vai fazer TRANSFERENCIA</t>
  </si>
  <si>
    <t>17/07/2018</t>
  </si>
  <si>
    <t>23/07/2018</t>
  </si>
  <si>
    <t>AMANDA JOYCE SANTOS DE SOUZA</t>
  </si>
  <si>
    <t>11 97015-1449</t>
  </si>
  <si>
    <t>VAI EFETUAR TRANSFERÊNCIA</t>
  </si>
  <si>
    <t>Repres</t>
  </si>
  <si>
    <t>9) CHECK-OUT APÓS ÀS 16:00 HORAS, SERÁ COBRADO 1 DIÁRIA POR PESSOA</t>
  </si>
  <si>
    <t>5) RAMAL DA RECEPÇÃO: 120</t>
  </si>
  <si>
    <r>
      <t xml:space="preserve">11) REDE WIFI: Hotel-Litoral-Novo - SENHA WI-FI: </t>
    </r>
    <r>
      <rPr>
        <b/>
        <sz val="11"/>
        <color theme="1"/>
        <rFont val="Arial"/>
        <family val="2"/>
      </rPr>
      <t>localroom</t>
    </r>
  </si>
  <si>
    <t>tftfgfgf</t>
  </si>
  <si>
    <t>35,00</t>
  </si>
  <si>
    <t>420,00</t>
  </si>
  <si>
    <t>111.111.111-11</t>
  </si>
  <si>
    <t>NOME NOME</t>
  </si>
  <si>
    <t>Avenida Orlando Alves de Souza</t>
  </si>
  <si>
    <t>Perequê Mirim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</si>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</sst>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(&quot;R$&quot;* #,##0.00_);_(&quot;R$&quot;* \(#,##0.00\);_(&quot;R$&quot;* &quot;-&quot;??_);_(@_)"/>
    <numFmt numFmtId="167" formatCode="h:mm;@"/>
    <numFmt numFmtId="168" formatCode="dd/mm/yy;@"/>
    <numFmt numFmtId="169" formatCode="yyyy"/>
    <numFmt numFmtId="170" formatCode="[$-416]mmmm"/>
    <numFmt numFmtId="171" formatCode="&quot;R$&quot;#,##0.00_);\(&quot;R$&quot;#,##0.00\)"/>
    <numFmt numFmtId="172" formatCode="&quot;R$&quot;#,##0.00_);[Red]\(&quot;R$&quot;#,##0.00\)"/>
    <numFmt numFmtId="173" formatCode="000000"/>
  </numFmts>
  <fonts count="2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i/>
      <sz val="14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i/>
      <sz val="12"/>
      <color theme="1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164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5" fontId="12" fillId="0" borderId="0" applyFont="0" applyFill="0" applyBorder="0" applyAlignment="0" applyProtection="0"/>
  </cellStyleXfs>
  <cellXfs count="14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/>
    <xf numFmtId="0" fontId="6" fillId="0" borderId="0" xfId="0" applyFont="1" applyBorder="1" applyAlignment="1">
      <alignment vertical="center"/>
    </xf>
    <xf numFmtId="0" fontId="0" fillId="0" borderId="0" xfId="0" applyBorder="1"/>
    <xf numFmtId="0" fontId="7" fillId="0" borderId="0" xfId="0" applyFont="1" applyBorder="1" applyAlignment="1">
      <alignment vertical="center"/>
    </xf>
    <xf numFmtId="0" fontId="5" fillId="0" borderId="0" xfId="0" applyFont="1" applyFill="1" applyBorder="1" applyAlignment="1"/>
    <xf numFmtId="0" fontId="8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/>
    <xf numFmtId="0" fontId="9" fillId="0" borderId="0" xfId="0" applyFont="1" applyBorder="1" applyAlignment="1">
      <alignment horizontal="center" vertical="center"/>
    </xf>
    <xf numFmtId="0" fontId="14" fillId="0" borderId="0" xfId="0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3" fontId="0" fillId="0" borderId="0" xfId="0" applyNumberFormat="1"/>
    <xf numFmtId="3" fontId="1" fillId="0" borderId="0" xfId="0" applyNumberFormat="1" applyFont="1"/>
    <xf numFmtId="0" fontId="1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14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10" xfId="0" applyBorder="1"/>
    <xf numFmtId="0" fontId="0" fillId="0" borderId="0" xfId="0" applyFont="1" applyBorder="1"/>
    <xf numFmtId="0" fontId="14" fillId="0" borderId="0" xfId="0" applyFont="1" applyBorder="1" applyAlignment="1">
      <alignment horizontal="right"/>
    </xf>
    <xf numFmtId="0" fontId="0" fillId="10" borderId="0" xfId="0" applyFill="1"/>
    <xf numFmtId="0" fontId="0" fillId="11" borderId="0" xfId="0" applyFill="1"/>
    <xf numFmtId="20" fontId="0" fillId="0" borderId="0" xfId="0" applyNumberFormat="1"/>
    <xf numFmtId="0" fontId="6" fillId="0" borderId="11" xfId="0" applyFont="1" applyBorder="1"/>
    <xf numFmtId="0" fontId="0" fillId="0" borderId="12" xfId="0" applyBorder="1"/>
    <xf numFmtId="0" fontId="19" fillId="0" borderId="12" xfId="0" applyFont="1" applyBorder="1"/>
    <xf numFmtId="170" fontId="8" fillId="0" borderId="12" xfId="0" applyNumberFormat="1" applyFont="1" applyBorder="1" applyAlignment="1">
      <alignment horizontal="left" vertical="center"/>
    </xf>
    <xf numFmtId="169" fontId="8" fillId="0" borderId="13" xfId="0" applyNumberFormat="1" applyFont="1" applyBorder="1" applyAlignment="1">
      <alignment horizontal="left" vertical="center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right"/>
    </xf>
    <xf numFmtId="0" fontId="5" fillId="0" borderId="13" xfId="0" applyFont="1" applyBorder="1" applyAlignment="1">
      <alignment horizontal="left" vertical="center"/>
    </xf>
    <xf numFmtId="0" fontId="0" fillId="0" borderId="11" xfId="0" applyBorder="1"/>
    <xf numFmtId="0" fontId="0" fillId="0" borderId="13" xfId="0" applyBorder="1"/>
    <xf numFmtId="0" fontId="20" fillId="0" borderId="0" xfId="0" applyFont="1" applyBorder="1"/>
    <xf numFmtId="172" fontId="0" fillId="0" borderId="0" xfId="0" applyNumberFormat="1"/>
    <xf numFmtId="0" fontId="0" fillId="0" borderId="0" xfId="0" applyBorder="1" applyAlignment="1">
      <alignment horizontal="right"/>
    </xf>
    <xf numFmtId="0" fontId="0" fillId="0" borderId="16" xfId="0" applyBorder="1"/>
    <xf numFmtId="0" fontId="0" fillId="0" borderId="16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22" fillId="0" borderId="15" xfId="0" applyFont="1" applyBorder="1"/>
    <xf numFmtId="0" fontId="24" fillId="12" borderId="21" xfId="0" applyFont="1" applyFill="1" applyBorder="1"/>
    <xf numFmtId="0" fontId="24" fillId="13" borderId="22" xfId="0" applyFont="1" applyFill="1" applyBorder="1"/>
    <xf numFmtId="0" fontId="23" fillId="14" borderId="23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23" fillId="14" borderId="27" xfId="0" applyFont="1" applyFill="1" applyBorder="1"/>
    <xf numFmtId="0" fontId="0" fillId="0" borderId="27" xfId="0" applyFont="1" applyBorder="1"/>
    <xf numFmtId="0" fontId="0" fillId="0" borderId="28" xfId="0" applyFont="1" applyBorder="1"/>
    <xf numFmtId="173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26" fillId="2" borderId="0" xfId="0" applyFont="1" applyFill="1"/>
    <xf numFmtId="0" fontId="26" fillId="0" borderId="0" xfId="0" applyFont="1"/>
    <xf numFmtId="0" fontId="27" fillId="3" borderId="0" xfId="0" applyFont="1" applyFill="1" applyBorder="1" applyAlignment="1">
      <alignment vertical="center"/>
    </xf>
    <xf numFmtId="0" fontId="0" fillId="2" borderId="0" xfId="0" applyFont="1" applyFill="1" applyAlignment="1"/>
    <xf numFmtId="0" fontId="26" fillId="2" borderId="0" xfId="0" applyFont="1" applyFill="1" applyAlignment="1"/>
    <xf numFmtId="0" fontId="26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14" fontId="6" fillId="4" borderId="0" xfId="0" applyNumberFormat="1" applyFont="1" applyFill="1" applyBorder="1" applyAlignment="1">
      <alignment horizontal="center" vertical="center"/>
    </xf>
    <xf numFmtId="167" fontId="6" fillId="4" borderId="0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168" fontId="6" fillId="4" borderId="0" xfId="0" applyNumberFormat="1" applyFont="1" applyFill="1" applyBorder="1" applyAlignment="1">
      <alignment horizontal="center" vertical="center"/>
    </xf>
    <xf numFmtId="20" fontId="6" fillId="4" borderId="0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0" fontId="15" fillId="4" borderId="0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1" fontId="6" fillId="4" borderId="0" xfId="0" applyNumberFormat="1" applyFont="1" applyFill="1" applyBorder="1" applyAlignment="1">
      <alignment horizontal="left" vertical="center"/>
    </xf>
    <xf numFmtId="3" fontId="6" fillId="4" borderId="0" xfId="0" applyNumberFormat="1" applyFont="1" applyFill="1" applyBorder="1" applyAlignment="1">
      <alignment horizontal="left" vertical="center"/>
    </xf>
    <xf numFmtId="14" fontId="7" fillId="4" borderId="0" xfId="0" applyNumberFormat="1" applyFont="1" applyFill="1" applyBorder="1" applyAlignment="1">
      <alignment horizontal="left" vertical="center"/>
    </xf>
    <xf numFmtId="19" fontId="7" fillId="4" borderId="0" xfId="0" applyNumberFormat="1" applyFont="1" applyFill="1" applyBorder="1" applyAlignment="1">
      <alignment horizontal="center" vertical="center"/>
    </xf>
    <xf numFmtId="167" fontId="7" fillId="4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 applyBorder="1" applyAlignment="1">
      <alignment horizontal="center" vertical="center"/>
    </xf>
    <xf numFmtId="0" fontId="8" fillId="4" borderId="0" xfId="0" applyFont="1" applyFill="1" applyBorder="1" applyAlignment="1">
      <alignment horizontal="left" vertical="center"/>
    </xf>
    <xf numFmtId="0" fontId="9" fillId="0" borderId="0" xfId="0" applyFont="1" applyBorder="1" applyAlignment="1">
      <alignment horizontal="center" vertical="center"/>
    </xf>
    <xf numFmtId="14" fontId="5" fillId="0" borderId="11" xfId="0" applyNumberFormat="1" applyFont="1" applyBorder="1" applyAlignment="1">
      <alignment horizontal="center" vertical="center"/>
    </xf>
    <xf numFmtId="14" fontId="5" fillId="0" borderId="12" xfId="0" applyNumberFormat="1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1" fontId="5" fillId="0" borderId="0" xfId="2" applyNumberFormat="1" applyFont="1" applyAlignment="1">
      <alignment horizontal="center"/>
    </xf>
    <xf numFmtId="166" fontId="5" fillId="0" borderId="0" xfId="2" applyFont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21" fillId="0" borderId="6" xfId="0" applyFont="1" applyBorder="1" applyAlignment="1">
      <alignment horizontal="right"/>
    </xf>
    <xf numFmtId="0" fontId="13" fillId="0" borderId="6" xfId="0" applyFont="1" applyBorder="1" applyAlignment="1">
      <alignment horizontal="right"/>
    </xf>
    <xf numFmtId="0" fontId="21" fillId="0" borderId="6" xfId="0" applyFont="1" applyBorder="1" applyAlignment="1">
      <alignment horizontal="center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0" fillId="0" borderId="6" xfId="0" applyBorder="1" applyAlignment="1">
      <alignment horizontal="left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6" fillId="0" borderId="0" xfId="0" applyFont="1" applyAlignment="1">
      <alignment horizontal="center" vertical="top"/>
    </xf>
    <xf numFmtId="173" fontId="0" fillId="0" borderId="6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14" fontId="0" fillId="0" borderId="6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</cellXfs>
  <cellStyles count="4">
    <cellStyle name="Moeda 2" xfId="1"/>
    <cellStyle name="Moeda 3" xfId="2"/>
    <cellStyle name="Normal" xfId="0" builtinId="0"/>
    <cellStyle name="Vírgula 2" xfId="3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346711</xdr:colOff>
      <xdr:row>2</xdr:row>
      <xdr:rowOff>38100</xdr:rowOff>
    </xdr:from>
    <xdr:to>
      <xdr:col>7</xdr:col>
      <xdr:colOff>19051</xdr:colOff>
      <xdr:row>5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1" y="971550"/>
          <a:ext cx="3368040" cy="6858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209551</xdr:colOff>
      <xdr:row>6</xdr:row>
      <xdr:rowOff>85725</xdr:rowOff>
    </xdr:from>
    <xdr:to>
      <xdr:col>7</xdr:col>
      <xdr:colOff>28575</xdr:colOff>
      <xdr:row>10</xdr:row>
      <xdr:rowOff>19050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xmlns="" id="{92E5FCBB-D84B-4F2C-BDEC-66C45A9E340B}"/>
            </a:ext>
          </a:extLst>
        </xdr:cNvPr>
        <xdr:cNvGrpSpPr/>
      </xdr:nvGrpSpPr>
      <xdr:grpSpPr>
        <a:xfrm>
          <a:off x="438151" y="1781175"/>
          <a:ext cx="3514724" cy="695325"/>
          <a:chOff x="428626" y="1228725"/>
          <a:chExt cx="3514724" cy="695325"/>
        </a:xfrm>
      </xdr:grpSpPr>
      <xdr:sp macro="[0]!Orçamentário" textlink="">
        <xdr:nvSpPr>
          <xdr:cNvPr id="4" name="Retângulo: Cantos Diagonais Arredondados 3">
            <a:extLst>
              <a:ext uri="{FF2B5EF4-FFF2-40B4-BE49-F238E27FC236}">
                <a16:creationId xmlns:a16="http://schemas.microsoft.com/office/drawing/2014/main" xmlns="" id="{00000000-0008-0000-0000-000004000000}"/>
              </a:ext>
            </a:extLst>
          </xdr:cNvPr>
          <xdr:cNvSpPr/>
        </xdr:nvSpPr>
        <xdr:spPr>
          <a:xfrm>
            <a:off x="428626" y="1419225"/>
            <a:ext cx="3514724" cy="504825"/>
          </a:xfrm>
          <a:prstGeom prst="round2DiagRect">
            <a:avLst/>
          </a:prstGeom>
          <a:solidFill>
            <a:schemeClr val="tx2">
              <a:lumMod val="40000"/>
              <a:lumOff val="60000"/>
            </a:schemeClr>
          </a:solidFill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Orçamentário" textlink="">
        <xdr:nvSpPr>
          <xdr:cNvPr id="5" name="Btn_Orçamentario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SpPr/>
        </xdr:nvSpPr>
        <xdr:spPr>
          <a:xfrm>
            <a:off x="542925" y="1228725"/>
            <a:ext cx="3193691" cy="571500"/>
          </a:xfrm>
          <a:prstGeom prst="roundRect">
            <a:avLst/>
          </a:prstGeom>
          <a:ln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2000" b="0" i="0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Orçamentário</a:t>
            </a:r>
          </a:p>
        </xdr:txBody>
      </xdr:sp>
    </xdr:grpSp>
    <xdr:clientData/>
  </xdr:twoCellAnchor>
  <xdr:twoCellAnchor>
    <xdr:from>
      <xdr:col>1</xdr:col>
      <xdr:colOff>209550</xdr:colOff>
      <xdr:row>10</xdr:row>
      <xdr:rowOff>180975</xdr:rowOff>
    </xdr:from>
    <xdr:to>
      <xdr:col>7</xdr:col>
      <xdr:colOff>9525</xdr:colOff>
      <xdr:row>14</xdr:row>
      <xdr:rowOff>114300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xmlns="" id="{24BB48F1-8144-42BF-BB71-80A821911A52}"/>
            </a:ext>
          </a:extLst>
        </xdr:cNvPr>
        <xdr:cNvGrpSpPr/>
      </xdr:nvGrpSpPr>
      <xdr:grpSpPr>
        <a:xfrm>
          <a:off x="438150" y="2638425"/>
          <a:ext cx="3495675" cy="695325"/>
          <a:chOff x="438150" y="2085975"/>
          <a:chExt cx="3495675" cy="695325"/>
        </a:xfrm>
      </xdr:grpSpPr>
      <xdr:sp macro="[0]!Ficha_de_Entrada" textlink="">
        <xdr:nvSpPr>
          <xdr:cNvPr id="6" name="Retângulo: Cantos Diagonais Arredondados 5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SpPr/>
        </xdr:nvSpPr>
        <xdr:spPr>
          <a:xfrm>
            <a:off x="438150" y="2276475"/>
            <a:ext cx="3495675" cy="504825"/>
          </a:xfrm>
          <a:prstGeom prst="round2DiagRect">
            <a:avLst/>
          </a:prstGeom>
          <a:solidFill>
            <a:schemeClr val="tx2">
              <a:lumMod val="40000"/>
              <a:lumOff val="60000"/>
            </a:schemeClr>
          </a:solidFill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icha_de_Entrada" textlink="">
        <xdr:nvSpPr>
          <xdr:cNvPr id="7" name="Btn_FichaEntrada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SpPr/>
        </xdr:nvSpPr>
        <xdr:spPr>
          <a:xfrm>
            <a:off x="542925" y="2085975"/>
            <a:ext cx="3200400" cy="571500"/>
          </a:xfrm>
          <a:prstGeom prst="roundRect">
            <a:avLst/>
          </a:prstGeom>
          <a:ln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0" i="0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Ficha de Entrada</a:t>
            </a:r>
          </a:p>
        </xdr:txBody>
      </xdr:sp>
    </xdr:grpSp>
    <xdr:clientData/>
  </xdr:twoCellAnchor>
  <xdr:twoCellAnchor>
    <xdr:from>
      <xdr:col>1</xdr:col>
      <xdr:colOff>304800</xdr:colOff>
      <xdr:row>15</xdr:row>
      <xdr:rowOff>76200</xdr:rowOff>
    </xdr:from>
    <xdr:to>
      <xdr:col>7</xdr:col>
      <xdr:colOff>123825</xdr:colOff>
      <xdr:row>19</xdr:row>
      <xdr:rowOff>28575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AFAAF38F-9D05-439F-9699-77D7136B50A6}"/>
            </a:ext>
          </a:extLst>
        </xdr:cNvPr>
        <xdr:cNvGrpSpPr/>
      </xdr:nvGrpSpPr>
      <xdr:grpSpPr>
        <a:xfrm>
          <a:off x="533400" y="3486150"/>
          <a:ext cx="3514725" cy="714375"/>
          <a:chOff x="533400" y="2933700"/>
          <a:chExt cx="3514725" cy="714375"/>
        </a:xfrm>
      </xdr:grpSpPr>
      <xdr:sp macro="" textlink="">
        <xdr:nvSpPr>
          <xdr:cNvPr id="8" name="Retângulo: Cantos Diagonais Arredondados 7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/>
        </xdr:nvSpPr>
        <xdr:spPr>
          <a:xfrm>
            <a:off x="533400" y="3143250"/>
            <a:ext cx="3514725" cy="504825"/>
          </a:xfrm>
          <a:prstGeom prst="round2DiagRect">
            <a:avLst/>
          </a:prstGeom>
          <a:solidFill>
            <a:schemeClr val="tx2">
              <a:lumMod val="40000"/>
              <a:lumOff val="60000"/>
            </a:schemeClr>
          </a:solidFill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/>
        </xdr:nvSpPr>
        <xdr:spPr>
          <a:xfrm>
            <a:off x="600075" y="2933700"/>
            <a:ext cx="3200400" cy="571500"/>
          </a:xfrm>
          <a:prstGeom prst="roundRect">
            <a:avLst/>
          </a:prstGeom>
          <a:ln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2000" b="0" i="0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Diaristas   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66675</xdr:colOff>
      <xdr:row>0</xdr:row>
      <xdr:rowOff>0</xdr:rowOff>
    </xdr:from>
    <xdr:to>
      <xdr:col>42</xdr:col>
      <xdr:colOff>132583</xdr:colOff>
      <xdr:row>3</xdr:row>
      <xdr:rowOff>69232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97FBC563-55BF-42C6-AF5A-F9286D161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0"/>
          <a:ext cx="4733158" cy="497857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34</xdr:row>
      <xdr:rowOff>0</xdr:rowOff>
    </xdr:from>
    <xdr:to>
      <xdr:col>48</xdr:col>
      <xdr:colOff>114300</xdr:colOff>
      <xdr:row>34</xdr:row>
      <xdr:rowOff>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xmlns="" id="{2E950864-4C9E-4E29-BFB8-C73D75C84BB1}"/>
            </a:ext>
          </a:extLst>
        </xdr:cNvPr>
        <xdr:cNvCxnSpPr/>
      </xdr:nvCxnSpPr>
      <xdr:spPr>
        <a:xfrm flipH="1">
          <a:off x="9525" y="6048375"/>
          <a:ext cx="6505575" cy="0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95250</xdr:rowOff>
    </xdr:from>
    <xdr:to>
      <xdr:col>10</xdr:col>
      <xdr:colOff>609599</xdr:colOff>
      <xdr:row>9</xdr:row>
      <xdr:rowOff>57150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E937B038-DD83-47B1-A361-377CC090C275}"/>
            </a:ext>
          </a:extLst>
        </xdr:cNvPr>
        <xdr:cNvSpPr/>
      </xdr:nvSpPr>
      <xdr:spPr>
        <a:xfrm>
          <a:off x="0" y="1104900"/>
          <a:ext cx="6391274" cy="1343025"/>
        </a:xfrm>
        <a:prstGeom prst="roundRect">
          <a:avLst/>
        </a:prstGeom>
        <a:solidFill>
          <a:schemeClr val="bg1">
            <a:lumMod val="95000"/>
            <a:alpha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19051</xdr:colOff>
      <xdr:row>0</xdr:row>
      <xdr:rowOff>1</xdr:rowOff>
    </xdr:from>
    <xdr:to>
      <xdr:col>5</xdr:col>
      <xdr:colOff>285750</xdr:colOff>
      <xdr:row>0</xdr:row>
      <xdr:rowOff>787813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85213160-5718-4D7E-8754-605C67EDB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1"/>
          <a:ext cx="2971799" cy="7878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9525</xdr:colOff>
      <xdr:row>0</xdr:row>
      <xdr:rowOff>0</xdr:rowOff>
    </xdr:from>
    <xdr:to>
      <xdr:col>42</xdr:col>
      <xdr:colOff>75433</xdr:colOff>
      <xdr:row>4</xdr:row>
      <xdr:rowOff>114300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377EF15E-98B5-4834-B082-9C3B9276E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5" y="0"/>
          <a:ext cx="4733158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FFFF00"/>
  </sheetPr>
  <dimension ref="A1:XFD1048576"/>
  <sheetViews>
    <sheetView showRowColHeaders="0" tabSelected="1" zoomScaleNormal="100" workbookViewId="0">
      <selection activeCell="H22" sqref="H22"/>
    </sheetView>
  </sheetViews>
  <sheetFormatPr defaultColWidth="0" defaultRowHeight="15" zeroHeight="1" x14ac:dyDescent="0.25"/>
  <cols>
    <col min="1" max="1" width="3.42578125" style="78" customWidth="1"/>
    <col min="2" max="2" width="9.140625" style="78" customWidth="1"/>
    <col min="3" max="3" width="9.7109375" style="78" customWidth="1"/>
    <col min="4" max="9" width="9.140625" style="78" customWidth="1"/>
    <col min="10" max="15" width="9.140625" style="78" hidden="1" customWidth="1"/>
    <col min="16" max="16" width="5.5703125" style="78" hidden="1" customWidth="1"/>
    <col min="17" max="16384" width="9.140625" style="78" hidden="1"/>
  </cols>
  <sheetData>
    <row r="1" spans="1:24 16384:16384" ht="58.5" customHeight="1" x14ac:dyDescent="0.25">
      <c r="A1" s="80" t="s">
        <v>554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77"/>
      <c r="R1" s="77"/>
      <c r="S1" s="77"/>
      <c r="T1" s="77"/>
      <c r="U1" s="77"/>
      <c r="V1" s="77"/>
      <c r="W1" s="77"/>
      <c r="X1" s="77"/>
    </row>
    <row r="2" spans="1:24 16384:16384" ht="15" customHeight="1" x14ac:dyDescent="0.25">
      <c r="A2" s="82"/>
      <c r="B2" s="79" t="s">
        <v>500</v>
      </c>
      <c r="C2" s="79"/>
      <c r="D2" s="79"/>
      <c r="E2" s="79"/>
      <c r="F2" s="79"/>
      <c r="G2" s="79"/>
      <c r="H2" s="79"/>
      <c r="I2" s="81"/>
      <c r="J2" s="81"/>
      <c r="K2" s="81"/>
      <c r="L2" s="81"/>
      <c r="M2" s="81"/>
      <c r="N2" s="81"/>
      <c r="O2" s="81"/>
      <c r="P2" s="77"/>
      <c r="Q2" s="77"/>
      <c r="R2" s="77"/>
      <c r="S2" s="77"/>
      <c r="T2" s="77"/>
      <c r="U2" s="77"/>
      <c r="V2" s="77"/>
      <c r="W2" s="77"/>
      <c r="X2" s="77"/>
    </row>
    <row r="3" spans="1:24 16384:16384" ht="15" customHeight="1" x14ac:dyDescent="0.25">
      <c r="A3" s="82"/>
      <c r="B3" s="79"/>
      <c r="C3" s="79"/>
      <c r="D3" s="79"/>
      <c r="E3" s="79"/>
      <c r="F3" s="79"/>
      <c r="G3" s="79"/>
      <c r="H3" s="79"/>
      <c r="I3" s="81"/>
      <c r="J3" s="81"/>
      <c r="K3" s="81"/>
      <c r="L3" s="81"/>
      <c r="M3" s="81"/>
      <c r="N3" s="81"/>
      <c r="O3" s="81"/>
      <c r="P3" s="77"/>
      <c r="Q3" s="77"/>
      <c r="R3" s="77"/>
      <c r="S3" s="77"/>
      <c r="T3" s="77"/>
      <c r="U3" s="77"/>
      <c r="V3" s="77"/>
      <c r="W3" s="77"/>
      <c r="X3" s="77"/>
      <c r="XFD3" s="82"/>
    </row>
    <row r="4" spans="1:24 16384:16384" ht="15" customHeight="1" x14ac:dyDescent="0.25">
      <c r="A4" s="82"/>
      <c r="B4" s="79"/>
      <c r="C4" s="79"/>
      <c r="D4" s="79"/>
      <c r="E4" s="79"/>
      <c r="F4" s="79"/>
      <c r="G4" s="79"/>
      <c r="H4" s="79"/>
      <c r="I4" s="81"/>
      <c r="J4" s="81"/>
      <c r="K4" s="81"/>
      <c r="L4" s="81"/>
      <c r="M4" s="81"/>
      <c r="N4" s="81"/>
      <c r="O4" s="81"/>
      <c r="P4" s="77"/>
      <c r="Q4" s="77"/>
      <c r="R4" s="77"/>
      <c r="S4" s="77"/>
      <c r="T4" s="77"/>
      <c r="U4" s="77"/>
      <c r="V4" s="77"/>
      <c r="W4" s="77"/>
      <c r="X4" s="77"/>
      <c r="XFD4" s="82"/>
    </row>
    <row r="5" spans="1:24 16384:16384" ht="15" customHeight="1" x14ac:dyDescent="0.25">
      <c r="A5" s="82"/>
      <c r="B5" s="79"/>
      <c r="C5" s="79"/>
      <c r="D5" s="79"/>
      <c r="E5" s="79"/>
      <c r="F5" s="79"/>
      <c r="G5" s="79"/>
      <c r="H5" s="79"/>
      <c r="I5" s="81"/>
      <c r="J5" s="81"/>
      <c r="K5" s="81"/>
      <c r="L5" s="81"/>
      <c r="M5" s="81"/>
      <c r="N5" s="81"/>
      <c r="O5" s="81"/>
      <c r="P5" s="77"/>
      <c r="Q5" s="77"/>
      <c r="R5" s="77"/>
      <c r="S5" s="77"/>
      <c r="T5" s="77"/>
      <c r="U5" s="77"/>
      <c r="V5" s="77"/>
      <c r="W5" s="77"/>
      <c r="X5" s="77"/>
      <c r="XFD5" s="82"/>
    </row>
    <row r="6" spans="1:24 16384:16384" ht="15" customHeight="1" x14ac:dyDescent="0.25">
      <c r="A6" s="82"/>
      <c r="B6" s="79"/>
      <c r="C6" s="79"/>
      <c r="D6" s="79"/>
      <c r="E6" s="79"/>
      <c r="F6" s="79"/>
      <c r="G6" s="79"/>
      <c r="H6" s="79"/>
      <c r="I6" s="81"/>
      <c r="J6" s="81"/>
      <c r="K6" s="81"/>
      <c r="L6" s="81"/>
      <c r="M6" s="81"/>
      <c r="N6" s="81"/>
      <c r="O6" s="81"/>
      <c r="P6" s="77"/>
      <c r="Q6" s="77"/>
      <c r="R6" s="77"/>
      <c r="S6" s="77"/>
      <c r="T6" s="77"/>
      <c r="U6" s="77"/>
      <c r="V6" s="77"/>
      <c r="W6" s="77"/>
      <c r="X6" s="77"/>
      <c r="XFD6" s="82"/>
    </row>
    <row r="7" spans="1:24 16384:16384" ht="15" customHeight="1" x14ac:dyDescent="0.25">
      <c r="A7" s="82"/>
      <c r="B7" s="79"/>
      <c r="C7" s="79"/>
      <c r="D7" s="79"/>
      <c r="E7" s="79"/>
      <c r="F7" s="79"/>
      <c r="G7" s="79"/>
      <c r="H7" s="79"/>
      <c r="I7" s="81"/>
      <c r="J7" s="81"/>
      <c r="K7" s="81"/>
      <c r="L7" s="81"/>
      <c r="M7" s="81"/>
      <c r="N7" s="81"/>
      <c r="O7" s="81"/>
      <c r="P7" s="77"/>
      <c r="Q7" s="77"/>
      <c r="R7" s="77"/>
      <c r="S7" s="77"/>
      <c r="T7" s="77"/>
      <c r="U7" s="77"/>
      <c r="V7" s="77"/>
      <c r="W7" s="77"/>
      <c r="X7" s="77"/>
      <c r="XFD7" s="82"/>
    </row>
    <row r="8" spans="1:24 16384:16384" ht="15" customHeight="1" x14ac:dyDescent="0.25">
      <c r="A8" s="82"/>
      <c r="B8" s="79"/>
      <c r="C8" s="79"/>
      <c r="D8" s="79"/>
      <c r="E8" s="79"/>
      <c r="F8" s="79"/>
      <c r="G8" s="79"/>
      <c r="H8" s="79"/>
      <c r="I8" s="81"/>
      <c r="J8" s="81"/>
      <c r="K8" s="81"/>
      <c r="L8" s="81"/>
      <c r="M8" s="81"/>
      <c r="N8" s="81"/>
      <c r="O8" s="81"/>
      <c r="P8" s="77"/>
      <c r="Q8" s="77"/>
      <c r="R8" s="77"/>
      <c r="S8" s="77"/>
      <c r="T8" s="77"/>
      <c r="U8" s="77"/>
      <c r="V8" s="77"/>
      <c r="W8" s="77"/>
      <c r="X8" s="77"/>
      <c r="XFD8" s="82"/>
    </row>
    <row r="9" spans="1:24 16384:16384" ht="15" customHeight="1" x14ac:dyDescent="0.25">
      <c r="A9" s="82"/>
      <c r="B9" s="79"/>
      <c r="C9" s="79"/>
      <c r="D9" s="79"/>
      <c r="E9" s="79"/>
      <c r="F9" s="79"/>
      <c r="G9" s="79"/>
      <c r="H9" s="79"/>
      <c r="I9" s="81"/>
      <c r="J9" s="81"/>
      <c r="K9" s="81"/>
      <c r="L9" s="81"/>
      <c r="M9" s="81"/>
      <c r="N9" s="81"/>
      <c r="O9" s="81"/>
      <c r="P9" s="77"/>
      <c r="Q9" s="77"/>
      <c r="R9" s="77"/>
      <c r="S9" s="77"/>
      <c r="T9" s="77"/>
      <c r="U9" s="77"/>
      <c r="V9" s="77"/>
      <c r="W9" s="77"/>
      <c r="X9" s="77"/>
      <c r="XFD9" s="82"/>
    </row>
    <row r="10" spans="1:24 16384:16384" ht="15" customHeight="1" x14ac:dyDescent="0.25">
      <c r="A10" s="82"/>
      <c r="B10" s="79"/>
      <c r="C10" s="79"/>
      <c r="D10" s="79"/>
      <c r="E10" s="79"/>
      <c r="F10" s="79"/>
      <c r="G10" s="79"/>
      <c r="H10" s="79"/>
      <c r="I10" s="81"/>
      <c r="J10" s="81"/>
      <c r="K10" s="81"/>
      <c r="L10" s="81"/>
      <c r="M10" s="81"/>
      <c r="N10" s="81"/>
      <c r="O10" s="81"/>
      <c r="P10" s="77"/>
      <c r="Q10" s="77"/>
      <c r="R10" s="77"/>
      <c r="S10" s="77"/>
      <c r="T10" s="77"/>
      <c r="U10" s="77"/>
      <c r="V10" s="77"/>
      <c r="W10" s="77"/>
      <c r="X10" s="77"/>
      <c r="XFD10" s="82"/>
    </row>
    <row r="11" spans="1:24 16384:16384" ht="15" customHeight="1" x14ac:dyDescent="0.25">
      <c r="A11" s="82"/>
      <c r="B11" s="79"/>
      <c r="C11" s="79"/>
      <c r="D11" s="79"/>
      <c r="E11" s="79"/>
      <c r="F11" s="79"/>
      <c r="G11" s="79"/>
      <c r="H11" s="79"/>
      <c r="I11" s="81"/>
      <c r="J11" s="81"/>
      <c r="K11" s="81"/>
      <c r="L11" s="81"/>
      <c r="M11" s="81"/>
      <c r="N11" s="81"/>
      <c r="O11" s="81"/>
      <c r="P11" s="77"/>
      <c r="Q11" s="77"/>
      <c r="R11" s="77"/>
      <c r="S11" s="77"/>
      <c r="T11" s="77"/>
      <c r="U11" s="77"/>
      <c r="V11" s="77"/>
      <c r="W11" s="77"/>
      <c r="X11" s="77"/>
      <c r="XFD11" s="82"/>
    </row>
    <row r="12" spans="1:24 16384:16384" ht="15" customHeight="1" x14ac:dyDescent="0.25">
      <c r="A12" s="82"/>
      <c r="B12" s="79"/>
      <c r="C12" s="79"/>
      <c r="D12" s="79"/>
      <c r="E12" s="79"/>
      <c r="F12" s="79"/>
      <c r="G12" s="79"/>
      <c r="H12" s="79"/>
      <c r="I12" s="81"/>
      <c r="J12" s="81"/>
      <c r="K12" s="81"/>
      <c r="L12" s="81"/>
      <c r="M12" s="81"/>
      <c r="N12" s="81"/>
      <c r="O12" s="81"/>
      <c r="P12" s="77"/>
      <c r="Q12" s="77"/>
      <c r="R12" s="77"/>
      <c r="S12" s="77"/>
      <c r="T12" s="77"/>
      <c r="U12" s="77"/>
      <c r="V12" s="77"/>
      <c r="W12" s="77"/>
      <c r="X12" s="77"/>
      <c r="XFD12" s="82"/>
    </row>
    <row r="13" spans="1:24 16384:16384" ht="15" customHeight="1" x14ac:dyDescent="0.25">
      <c r="A13" s="82"/>
      <c r="B13" s="79"/>
      <c r="C13" s="79"/>
      <c r="D13" s="79"/>
      <c r="E13" s="79"/>
      <c r="F13" s="79"/>
      <c r="G13" s="79"/>
      <c r="H13" s="79"/>
      <c r="I13" s="81"/>
      <c r="J13" s="81"/>
      <c r="K13" s="81"/>
      <c r="L13" s="81"/>
      <c r="M13" s="81"/>
      <c r="N13" s="81"/>
      <c r="O13" s="81"/>
      <c r="P13" s="77"/>
      <c r="Q13" s="77"/>
      <c r="R13" s="77"/>
      <c r="S13" s="77"/>
      <c r="T13" s="77"/>
      <c r="U13" s="77"/>
      <c r="V13" s="77"/>
      <c r="W13" s="77"/>
      <c r="X13" s="77"/>
      <c r="XFD13" s="82"/>
    </row>
    <row r="14" spans="1:24 16384:16384" ht="15" customHeight="1" x14ac:dyDescent="0.25">
      <c r="A14" s="82"/>
      <c r="B14" s="79"/>
      <c r="C14" s="79"/>
      <c r="D14" s="79"/>
      <c r="E14" s="79"/>
      <c r="F14" s="79"/>
      <c r="G14" s="79"/>
      <c r="H14" s="79"/>
      <c r="I14" s="81"/>
      <c r="J14" s="81"/>
      <c r="K14" s="81"/>
      <c r="L14" s="81"/>
      <c r="M14" s="81"/>
      <c r="N14" s="81"/>
      <c r="O14" s="81"/>
      <c r="P14" s="77"/>
      <c r="Q14" s="77"/>
      <c r="R14" s="77"/>
      <c r="S14" s="77"/>
      <c r="T14" s="77"/>
      <c r="U14" s="77"/>
      <c r="V14" s="77"/>
      <c r="W14" s="77"/>
      <c r="X14" s="77"/>
      <c r="XFD14" s="82"/>
    </row>
    <row r="15" spans="1:24 16384:16384" ht="15" customHeight="1" x14ac:dyDescent="0.25">
      <c r="A15" s="82"/>
      <c r="B15" s="79"/>
      <c r="C15" s="79"/>
      <c r="D15" s="79"/>
      <c r="E15" s="79"/>
      <c r="F15" s="79"/>
      <c r="G15" s="79"/>
      <c r="H15" s="79"/>
      <c r="I15" s="81"/>
      <c r="J15" s="81"/>
      <c r="K15" s="81"/>
      <c r="L15" s="81"/>
      <c r="M15" s="81"/>
      <c r="N15" s="81"/>
      <c r="O15" s="81"/>
      <c r="P15" s="77"/>
      <c r="Q15" s="77"/>
      <c r="R15" s="77"/>
      <c r="S15" s="77"/>
      <c r="T15" s="77"/>
      <c r="U15" s="77"/>
      <c r="V15" s="77"/>
      <c r="W15" s="77"/>
      <c r="X15" s="77"/>
      <c r="XFD15" s="82"/>
    </row>
    <row r="16" spans="1:24 16384:16384" ht="15" customHeight="1" x14ac:dyDescent="0.25">
      <c r="A16" s="82"/>
      <c r="B16" s="79"/>
      <c r="C16" s="79"/>
      <c r="D16" s="79"/>
      <c r="E16" s="79"/>
      <c r="F16" s="79"/>
      <c r="G16" s="79"/>
      <c r="H16" s="79"/>
      <c r="I16" s="81"/>
      <c r="J16" s="81"/>
      <c r="K16" s="81"/>
      <c r="L16" s="81"/>
      <c r="M16" s="81"/>
      <c r="N16" s="81"/>
      <c r="O16" s="81"/>
      <c r="P16" s="77"/>
      <c r="Q16" s="77"/>
      <c r="R16" s="77"/>
      <c r="S16" s="77"/>
      <c r="T16" s="77"/>
      <c r="U16" s="77"/>
      <c r="V16" s="77"/>
      <c r="W16" s="77"/>
      <c r="X16" s="77"/>
      <c r="XFD16" s="82"/>
    </row>
    <row r="17" spans="1:24 16384:16384" ht="15" customHeight="1" x14ac:dyDescent="0.25">
      <c r="A17" s="82"/>
      <c r="B17" s="79"/>
      <c r="C17" s="79"/>
      <c r="D17" s="79"/>
      <c r="E17" s="79"/>
      <c r="F17" s="79"/>
      <c r="G17" s="79"/>
      <c r="H17" s="79"/>
      <c r="I17" s="81"/>
      <c r="J17" s="81"/>
      <c r="K17" s="81"/>
      <c r="L17" s="81"/>
      <c r="M17" s="81"/>
      <c r="N17" s="81"/>
      <c r="O17" s="81"/>
      <c r="P17" s="77"/>
      <c r="Q17" s="77"/>
      <c r="R17" s="77"/>
      <c r="S17" s="77"/>
      <c r="T17" s="77"/>
      <c r="U17" s="77"/>
      <c r="V17" s="77"/>
      <c r="W17" s="77"/>
      <c r="X17" s="77"/>
      <c r="XFD17" s="82"/>
    </row>
    <row r="18" spans="1:24 16384:16384" ht="15" customHeight="1" x14ac:dyDescent="0.25">
      <c r="A18" s="82"/>
      <c r="B18" s="79"/>
      <c r="C18" s="79"/>
      <c r="D18" s="79"/>
      <c r="E18" s="79"/>
      <c r="F18" s="79"/>
      <c r="G18" s="79"/>
      <c r="H18" s="79"/>
      <c r="I18" s="81"/>
      <c r="J18" s="81"/>
      <c r="K18" s="81"/>
      <c r="L18" s="81"/>
      <c r="M18" s="81"/>
      <c r="N18" s="81"/>
      <c r="O18" s="81"/>
      <c r="P18" s="77"/>
      <c r="Q18" s="77"/>
      <c r="R18" s="77"/>
      <c r="S18" s="77"/>
      <c r="T18" s="77"/>
      <c r="U18" s="77"/>
      <c r="V18" s="77"/>
      <c r="W18" s="77"/>
      <c r="X18" s="77"/>
      <c r="XFD18" s="82"/>
    </row>
    <row r="19" spans="1:24 16384:16384" ht="15" customHeight="1" x14ac:dyDescent="0.25">
      <c r="A19" s="82"/>
      <c r="B19" s="79"/>
      <c r="C19" s="79"/>
      <c r="D19" s="79"/>
      <c r="E19" s="79"/>
      <c r="F19" s="79"/>
      <c r="G19" s="79"/>
      <c r="H19" s="79"/>
      <c r="I19" s="81"/>
      <c r="J19" s="81"/>
      <c r="K19" s="81"/>
      <c r="L19" s="81"/>
      <c r="M19" s="81"/>
      <c r="N19" s="81"/>
      <c r="O19" s="81"/>
      <c r="P19" s="77"/>
      <c r="Q19" s="77"/>
      <c r="R19" s="77"/>
      <c r="S19" s="77"/>
      <c r="T19" s="77"/>
      <c r="U19" s="77"/>
      <c r="V19" s="77"/>
      <c r="W19" s="77"/>
      <c r="X19" s="77"/>
      <c r="XFD19" s="82"/>
    </row>
    <row r="20" spans="1:24 16384:16384" ht="15" customHeight="1" x14ac:dyDescent="0.25">
      <c r="A20" s="82"/>
      <c r="B20" s="79"/>
      <c r="C20" s="79"/>
      <c r="D20" s="79"/>
      <c r="E20" s="79"/>
      <c r="F20" s="79"/>
      <c r="G20" s="79"/>
      <c r="H20" s="79"/>
      <c r="I20" s="81"/>
      <c r="J20" s="81"/>
      <c r="K20" s="81"/>
      <c r="L20" s="81"/>
      <c r="M20" s="81"/>
      <c r="N20" s="81"/>
      <c r="O20" s="81"/>
      <c r="P20" s="77"/>
      <c r="Q20" s="77"/>
      <c r="R20" s="77"/>
      <c r="S20" s="77"/>
      <c r="T20" s="77"/>
      <c r="U20" s="77"/>
      <c r="V20" s="77"/>
      <c r="W20" s="77"/>
      <c r="X20" s="77"/>
      <c r="XFD20" s="82"/>
    </row>
    <row r="21" spans="1:24 16384:16384" ht="15" customHeight="1" x14ac:dyDescent="0.25">
      <c r="A21" s="82"/>
      <c r="B21" s="79"/>
      <c r="C21" s="79"/>
      <c r="D21" s="79"/>
      <c r="E21" s="79"/>
      <c r="F21" s="79"/>
      <c r="G21" s="79"/>
      <c r="H21" s="79"/>
      <c r="I21" s="81"/>
      <c r="J21" s="81"/>
      <c r="K21" s="81"/>
      <c r="L21" s="81"/>
      <c r="M21" s="81"/>
      <c r="N21" s="81"/>
      <c r="O21" s="81"/>
      <c r="P21" s="77"/>
      <c r="Q21" s="77"/>
      <c r="R21" s="77"/>
      <c r="S21" s="77"/>
      <c r="T21" s="77"/>
      <c r="U21" s="77"/>
      <c r="V21" s="77"/>
      <c r="W21" s="77"/>
      <c r="X21" s="77"/>
      <c r="XFD21" s="82"/>
    </row>
    <row r="22" spans="1:24 16384:16384" ht="46.5" customHeight="1" x14ac:dyDescent="0.25">
      <c r="A22" s="7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XFD22" s="82"/>
    </row>
    <row r="1048576" spans="16369:16384" hidden="1" x14ac:dyDescent="0.25">
      <c r="XEO1048576" s="83" t="s">
        <v>500</v>
      </c>
      <c r="XEP1048576" s="82"/>
      <c r="XEQ1048576" s="82"/>
      <c r="XER1048576" s="82"/>
      <c r="XES1048576" s="82"/>
      <c r="XET1048576" s="82"/>
      <c r="XEU1048576" s="82"/>
      <c r="XEV1048576" s="82"/>
      <c r="XEW1048576" s="82"/>
      <c r="XEX1048576" s="82"/>
      <c r="XEY1048576" s="82"/>
      <c r="XEZ1048576" s="82"/>
      <c r="XFA1048576" s="82"/>
      <c r="XFB1048576" s="82"/>
      <c r="XFC1048576" s="82"/>
      <c r="XFD1048576" s="82"/>
    </row>
  </sheetData>
  <customSheetViews>
    <customSheetView guid="{AEF9E62C-83A9-4673-8233-4BD95CE1CD85}" showRowCol="0">
      <selection activeCell="A22" sqref="A22:P22"/>
    </customSheetView>
    <customSheetView guid="{BA562366-A36C-43E5-A385-816C6D2E948F}" showRowCol="0" hiddenRows="1" hiddenColumns="1">
      <selection activeCell="B2" sqref="B2:O21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3">
    <mergeCell ref="XFD3:XFD22"/>
    <mergeCell ref="A2:A21"/>
    <mergeCell ref="XEO1048576:XFD104857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FFFF00"/>
  </sheetPr>
  <dimension ref="A2:P16"/>
  <sheetViews>
    <sheetView workbookViewId="0">
      <selection activeCell="C20" sqref="C20"/>
    </sheetView>
  </sheetViews>
  <sheetFormatPr defaultRowHeight="15" x14ac:dyDescent="0.25"/>
  <cols>
    <col min="2" max="2" width="21.5703125" customWidth="1"/>
    <col min="3" max="3" width="9.140625" customWidth="1"/>
    <col min="4" max="4" width="12.85546875" customWidth="1"/>
    <col min="5" max="5" width="6" customWidth="1"/>
    <col min="6" max="6" width="3.85546875" customWidth="1"/>
    <col min="7" max="7" width="4.28515625" customWidth="1"/>
    <col min="8" max="8" width="4.42578125" customWidth="1"/>
    <col min="9" max="9" width="12.140625" customWidth="1"/>
    <col min="10" max="10" width="3.28515625" customWidth="1"/>
    <col min="11" max="11" width="3.42578125" customWidth="1"/>
    <col min="12" max="12" width="6.28515625" customWidth="1"/>
    <col min="13" max="13" width="4.28515625" customWidth="1"/>
    <col min="14" max="14" width="6.28515625" customWidth="1"/>
    <col min="15" max="15" width="4.28515625" customWidth="1"/>
    <col min="16" max="16" width="7.5703125" customWidth="1"/>
  </cols>
  <sheetData>
    <row r="2" spans="1:16" ht="18.75" x14ac:dyDescent="0.3">
      <c r="A2" s="1" t="s">
        <v>0</v>
      </c>
      <c r="B2" s="22" t="s">
        <v>462</v>
      </c>
      <c r="D2" s="1" t="s">
        <v>1</v>
      </c>
      <c r="E2" s="2" t="str">
        <f>MID($B$2,1,1)</f>
        <v>3</v>
      </c>
      <c r="F2" s="2" t="s">
        <v>2</v>
      </c>
      <c r="G2" s="2">
        <v>1</v>
      </c>
      <c r="H2" s="2" t="s">
        <v>3</v>
      </c>
      <c r="I2" s="2">
        <f>E2*1</f>
        <v>3</v>
      </c>
      <c r="J2" s="2"/>
      <c r="L2" s="2" t="str">
        <f>MID($B$2,2,1)</f>
        <v>1</v>
      </c>
      <c r="M2" s="2" t="s">
        <v>2</v>
      </c>
      <c r="N2" s="2">
        <v>1</v>
      </c>
      <c r="O2" s="2" t="s">
        <v>3</v>
      </c>
      <c r="P2" s="2">
        <f>L2*N2</f>
        <v>1</v>
      </c>
    </row>
    <row r="3" spans="1:16" ht="18.75" x14ac:dyDescent="0.3">
      <c r="B3" s="3" t="str">
        <f>IF(C15=C16,"CPF OK","CPF INVÁLIDO")</f>
        <v>CPF OK</v>
      </c>
      <c r="D3" s="1" t="s">
        <v>4</v>
      </c>
      <c r="E3" s="2" t="str">
        <f>MID($B$2,2,1)</f>
        <v>1</v>
      </c>
      <c r="F3" s="2" t="s">
        <v>2</v>
      </c>
      <c r="G3" s="2">
        <v>2</v>
      </c>
      <c r="H3" s="2" t="s">
        <v>3</v>
      </c>
      <c r="I3" s="2">
        <f>E3*2</f>
        <v>2</v>
      </c>
      <c r="J3" s="2"/>
      <c r="L3" s="2" t="str">
        <f>MID($B$2,3,1)</f>
        <v>4</v>
      </c>
      <c r="M3" s="2" t="s">
        <v>2</v>
      </c>
      <c r="N3" s="2">
        <v>2</v>
      </c>
      <c r="O3" s="2" t="s">
        <v>3</v>
      </c>
      <c r="P3" s="2">
        <f t="shared" ref="P3:P10" si="0">L3*N3</f>
        <v>8</v>
      </c>
    </row>
    <row r="4" spans="1:16" ht="18.75" x14ac:dyDescent="0.3">
      <c r="D4" s="1" t="s">
        <v>5</v>
      </c>
      <c r="E4" s="2" t="str">
        <f>MID($B$2,3,1)</f>
        <v>4</v>
      </c>
      <c r="F4" s="2" t="s">
        <v>2</v>
      </c>
      <c r="G4" s="2">
        <v>3</v>
      </c>
      <c r="H4" s="2" t="s">
        <v>3</v>
      </c>
      <c r="I4" s="2">
        <f>E4*3</f>
        <v>12</v>
      </c>
      <c r="J4" s="2"/>
      <c r="L4" s="2" t="str">
        <f>MID($B$2,5,1)</f>
        <v>5</v>
      </c>
      <c r="M4" s="2" t="s">
        <v>2</v>
      </c>
      <c r="N4" s="2">
        <v>3</v>
      </c>
      <c r="O4" s="2" t="s">
        <v>3</v>
      </c>
      <c r="P4" s="2">
        <f t="shared" si="0"/>
        <v>15</v>
      </c>
    </row>
    <row r="5" spans="1:16" ht="18.75" x14ac:dyDescent="0.3">
      <c r="D5" s="1" t="s">
        <v>6</v>
      </c>
      <c r="E5" s="2" t="str">
        <f>MID($B$2,5,1)</f>
        <v>5</v>
      </c>
      <c r="F5" s="2" t="s">
        <v>2</v>
      </c>
      <c r="G5" s="2">
        <v>4</v>
      </c>
      <c r="H5" s="2" t="s">
        <v>3</v>
      </c>
      <c r="I5" s="2">
        <f>E5*4</f>
        <v>20</v>
      </c>
      <c r="J5" s="2"/>
      <c r="L5" s="2" t="str">
        <f>MID($B$2,6,1)</f>
        <v>2</v>
      </c>
      <c r="M5" s="2" t="s">
        <v>2</v>
      </c>
      <c r="N5" s="2">
        <v>4</v>
      </c>
      <c r="O5" s="2" t="s">
        <v>3</v>
      </c>
      <c r="P5" s="2">
        <f t="shared" si="0"/>
        <v>8</v>
      </c>
    </row>
    <row r="6" spans="1:16" ht="18.75" x14ac:dyDescent="0.3">
      <c r="D6" s="1" t="s">
        <v>7</v>
      </c>
      <c r="E6" s="2" t="str">
        <f>MID($B$2,6,1)</f>
        <v>2</v>
      </c>
      <c r="F6" s="2" t="s">
        <v>2</v>
      </c>
      <c r="G6" s="2">
        <v>5</v>
      </c>
      <c r="H6" s="2" t="s">
        <v>3</v>
      </c>
      <c r="I6" s="2">
        <f>E6*5</f>
        <v>10</v>
      </c>
      <c r="J6" s="2"/>
      <c r="L6" s="2" t="str">
        <f>MID($B$2,7,1)</f>
        <v>7</v>
      </c>
      <c r="M6" s="2" t="s">
        <v>2</v>
      </c>
      <c r="N6" s="2">
        <v>5</v>
      </c>
      <c r="O6" s="2" t="s">
        <v>3</v>
      </c>
      <c r="P6" s="2">
        <f t="shared" si="0"/>
        <v>35</v>
      </c>
    </row>
    <row r="7" spans="1:16" ht="18.75" x14ac:dyDescent="0.3">
      <c r="D7" s="1" t="s">
        <v>8</v>
      </c>
      <c r="E7" s="2" t="str">
        <f>MID($B$2,7,1)</f>
        <v>7</v>
      </c>
      <c r="F7" s="2" t="s">
        <v>2</v>
      </c>
      <c r="G7" s="2">
        <v>6</v>
      </c>
      <c r="H7" s="2" t="s">
        <v>3</v>
      </c>
      <c r="I7" s="2">
        <f>E7*6</f>
        <v>42</v>
      </c>
      <c r="J7" s="2"/>
      <c r="L7" s="2" t="str">
        <f>MID($B$2,9,1)</f>
        <v>3</v>
      </c>
      <c r="M7" s="2" t="s">
        <v>2</v>
      </c>
      <c r="N7" s="2">
        <v>6</v>
      </c>
      <c r="O7" s="2" t="s">
        <v>3</v>
      </c>
      <c r="P7" s="2">
        <f t="shared" si="0"/>
        <v>18</v>
      </c>
    </row>
    <row r="8" spans="1:16" ht="18.75" x14ac:dyDescent="0.3">
      <c r="D8" s="1" t="s">
        <v>9</v>
      </c>
      <c r="E8" s="2" t="str">
        <f>MID($B$2,9,1)</f>
        <v>3</v>
      </c>
      <c r="F8" s="2" t="s">
        <v>2</v>
      </c>
      <c r="G8" s="2">
        <v>7</v>
      </c>
      <c r="H8" s="2" t="s">
        <v>3</v>
      </c>
      <c r="I8" s="2">
        <f>E8*7</f>
        <v>21</v>
      </c>
      <c r="J8" s="2"/>
      <c r="L8" s="2" t="str">
        <f>MID($B$2,10,1)</f>
        <v>0</v>
      </c>
      <c r="M8" s="2" t="s">
        <v>2</v>
      </c>
      <c r="N8" s="2">
        <v>7</v>
      </c>
      <c r="O8" s="2" t="s">
        <v>3</v>
      </c>
      <c r="P8" s="2">
        <f t="shared" si="0"/>
        <v>0</v>
      </c>
    </row>
    <row r="9" spans="1:16" ht="18.75" x14ac:dyDescent="0.3">
      <c r="D9" s="1" t="s">
        <v>10</v>
      </c>
      <c r="E9" s="2" t="str">
        <f>MID($B$2,10,1)</f>
        <v>0</v>
      </c>
      <c r="F9" s="2" t="s">
        <v>2</v>
      </c>
      <c r="G9" s="2">
        <v>8</v>
      </c>
      <c r="H9" s="2" t="s">
        <v>3</v>
      </c>
      <c r="I9" s="2">
        <f>E9*8</f>
        <v>0</v>
      </c>
      <c r="J9" s="2"/>
      <c r="L9" s="2" t="str">
        <f>MID($B$2,11,1)</f>
        <v>8</v>
      </c>
      <c r="M9" s="2" t="s">
        <v>2</v>
      </c>
      <c r="N9" s="2">
        <v>8</v>
      </c>
      <c r="O9" s="2" t="s">
        <v>3</v>
      </c>
      <c r="P9" s="2">
        <f t="shared" si="0"/>
        <v>64</v>
      </c>
    </row>
    <row r="10" spans="1:16" ht="18.75" x14ac:dyDescent="0.3">
      <c r="D10" s="1" t="s">
        <v>11</v>
      </c>
      <c r="E10" s="2" t="str">
        <f>MID($B$2,11,1)</f>
        <v>8</v>
      </c>
      <c r="F10" s="2" t="s">
        <v>2</v>
      </c>
      <c r="G10" s="2">
        <v>9</v>
      </c>
      <c r="H10" s="2" t="s">
        <v>3</v>
      </c>
      <c r="I10" s="2">
        <f>E10*9</f>
        <v>72</v>
      </c>
      <c r="J10" s="2"/>
      <c r="L10" s="2">
        <f>I14</f>
        <v>6</v>
      </c>
      <c r="M10" s="2" t="s">
        <v>2</v>
      </c>
      <c r="N10" s="2">
        <v>9</v>
      </c>
      <c r="O10" s="2" t="s">
        <v>3</v>
      </c>
      <c r="P10" s="2">
        <f t="shared" si="0"/>
        <v>54</v>
      </c>
    </row>
    <row r="11" spans="1:16" ht="3.75" customHeight="1" x14ac:dyDescent="0.25"/>
    <row r="12" spans="1:16" ht="18.75" x14ac:dyDescent="0.3">
      <c r="D12" s="84" t="s">
        <v>12</v>
      </c>
      <c r="E12" s="84"/>
      <c r="F12" s="84"/>
      <c r="G12" s="84"/>
      <c r="H12" s="84"/>
      <c r="I12" s="2">
        <f>SUM(I2:I10)</f>
        <v>182</v>
      </c>
      <c r="J12" s="2"/>
      <c r="K12" s="84" t="s">
        <v>12</v>
      </c>
      <c r="L12" s="84"/>
      <c r="M12" s="84"/>
      <c r="N12" s="84"/>
      <c r="O12" s="84"/>
      <c r="P12" s="2">
        <f>SUM(P2:P10)</f>
        <v>203</v>
      </c>
    </row>
    <row r="13" spans="1:16" ht="18.75" x14ac:dyDescent="0.25">
      <c r="D13" s="85" t="s">
        <v>13</v>
      </c>
      <c r="E13" s="85"/>
      <c r="F13" s="85"/>
      <c r="G13" s="85"/>
      <c r="H13" s="85"/>
      <c r="I13" s="2">
        <f>MOD(I12,11)</f>
        <v>6</v>
      </c>
      <c r="J13" s="2"/>
      <c r="K13" s="85" t="s">
        <v>13</v>
      </c>
      <c r="L13" s="85"/>
      <c r="M13" s="85"/>
      <c r="N13" s="85"/>
      <c r="O13" s="85"/>
      <c r="P13" s="2">
        <f>MOD(P12,11)</f>
        <v>5</v>
      </c>
    </row>
    <row r="14" spans="1:16" ht="18.75" x14ac:dyDescent="0.25">
      <c r="D14" s="85" t="s">
        <v>14</v>
      </c>
      <c r="E14" s="85"/>
      <c r="F14" s="85"/>
      <c r="G14" s="85"/>
      <c r="H14" s="85"/>
      <c r="I14" s="4">
        <f>IF(I13=10,0,I13)</f>
        <v>6</v>
      </c>
      <c r="J14" s="2"/>
      <c r="K14" s="85" t="s">
        <v>15</v>
      </c>
      <c r="L14" s="85"/>
      <c r="M14" s="85"/>
      <c r="N14" s="85"/>
      <c r="O14" s="85"/>
      <c r="P14" s="4">
        <f>IF(P13=10,0,P13)</f>
        <v>5</v>
      </c>
    </row>
    <row r="15" spans="1:16" x14ac:dyDescent="0.25">
      <c r="B15" t="s">
        <v>16</v>
      </c>
      <c r="C15" t="str">
        <f>MID(B2,13,2)</f>
        <v>65</v>
      </c>
    </row>
    <row r="16" spans="1:16" x14ac:dyDescent="0.25">
      <c r="B16" t="s">
        <v>17</v>
      </c>
      <c r="C16" t="str">
        <f>CONCATENATE(I14,P14)</f>
        <v>65</v>
      </c>
    </row>
  </sheetData>
  <customSheetViews>
    <customSheetView guid="{AEF9E62C-83A9-4673-8233-4BD95CE1CD85}" state="hidden">
      <selection activeCell="C20" sqref="C20"/>
    </customSheetView>
    <customSheetView guid="{BA562366-A36C-43E5-A385-816C6D2E948F}" state="hidden">
      <selection activeCell="C20" sqref="C20"/>
      <pageMargins left="0.511811024" right="0.511811024" top="0.78740157499999996" bottom="0.78740157499999996" header="0.31496062000000002" footer="0.31496062000000002"/>
      <pageSetup paperSize="9" orientation="portrait" horizontalDpi="0" verticalDpi="0" r:id="rId1"/>
    </customSheetView>
  </customSheetViews>
  <mergeCells count="6">
    <mergeCell ref="D12:H12"/>
    <mergeCell ref="K12:O12"/>
    <mergeCell ref="D13:H13"/>
    <mergeCell ref="K13:O13"/>
    <mergeCell ref="D14:H14"/>
    <mergeCell ref="K14:O14"/>
  </mergeCells>
  <pageMargins left="0.511811024" right="0.511811024" top="0.78740157499999996" bottom="0.78740157499999996" header="0.31496062000000002" footer="0.31496062000000002"/>
  <pageSetup paperSize="9"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B8"/>
  <sheetViews>
    <sheetView workbookViewId="0">
      <selection activeCell="N6" sqref="N6"/>
    </sheetView>
  </sheetViews>
  <sheetFormatPr defaultColWidth="9.140625" defaultRowHeight="15" x14ac:dyDescent="0.25"/>
  <cols>
    <col min="1" max="1" width="4.7109375" style="13" customWidth="1"/>
    <col min="2" max="2" width="16.5703125" style="13" customWidth="1"/>
    <col min="3" max="3" width="3.5703125" style="13" customWidth="1"/>
    <col min="4" max="4" width="4.7109375" style="13" customWidth="1"/>
    <col min="5" max="5" width="14.28515625" style="13" customWidth="1"/>
    <col min="6" max="6" width="3.5703125" style="13" customWidth="1"/>
    <col min="7" max="7" width="4.7109375" style="13" customWidth="1"/>
    <col min="8" max="8" width="8.140625" style="13" customWidth="1"/>
    <col min="9" max="9" width="3.5703125" style="13" customWidth="1"/>
    <col min="10" max="10" width="4.7109375" style="13" customWidth="1"/>
    <col min="11" max="11" width="12.42578125" style="13" customWidth="1"/>
    <col min="12" max="12" width="3.5703125" style="13" customWidth="1"/>
    <col min="13" max="13" width="4.7109375" style="13" customWidth="1"/>
    <col min="14" max="14" width="14.85546875" style="13" customWidth="1"/>
    <col min="15" max="15" width="3.5703125" style="13" customWidth="1"/>
    <col min="16" max="17" width="9.140625" style="13"/>
    <col min="18" max="18" width="4.7109375" style="13" customWidth="1"/>
    <col min="19" max="19" width="7.28515625" style="13" customWidth="1"/>
    <col min="20" max="20" width="7.7109375" style="13" customWidth="1"/>
    <col min="21" max="21" width="3.5703125" style="13" customWidth="1"/>
    <col min="22" max="22" width="4.28515625" style="13" customWidth="1"/>
    <col min="23" max="23" width="13" style="13" customWidth="1"/>
    <col min="24" max="24" width="3.7109375" style="13" customWidth="1"/>
    <col min="25" max="25" width="19.5703125" style="13" customWidth="1"/>
    <col min="26" max="26" width="17.7109375" style="13" customWidth="1"/>
    <col min="27" max="27" width="6" style="13" customWidth="1"/>
    <col min="28" max="28" width="10.28515625" style="13" customWidth="1"/>
    <col min="29" max="16384" width="9.140625" style="13"/>
  </cols>
  <sheetData>
    <row r="1" spans="1:28" ht="15.75" x14ac:dyDescent="0.25">
      <c r="A1" s="16" t="s">
        <v>92</v>
      </c>
      <c r="B1" s="16"/>
      <c r="D1" s="17" t="s">
        <v>93</v>
      </c>
      <c r="E1" s="17"/>
      <c r="G1" s="18" t="s">
        <v>94</v>
      </c>
      <c r="H1" s="18"/>
      <c r="J1" s="19" t="s">
        <v>95</v>
      </c>
      <c r="K1" s="19"/>
      <c r="M1" s="20" t="s">
        <v>96</v>
      </c>
      <c r="N1" s="20"/>
      <c r="P1" s="41" t="s">
        <v>165</v>
      </c>
      <c r="Q1" s="41"/>
      <c r="R1" s="41"/>
      <c r="S1" s="41"/>
      <c r="T1" s="41"/>
      <c r="V1" s="42" t="s">
        <v>161</v>
      </c>
      <c r="W1" s="42"/>
      <c r="Y1" s="62" t="s">
        <v>78</v>
      </c>
      <c r="Z1" s="63" t="s">
        <v>79</v>
      </c>
      <c r="AA1" s="64" t="s">
        <v>80</v>
      </c>
      <c r="AB1" s="71" t="s">
        <v>409</v>
      </c>
    </row>
    <row r="2" spans="1:28" x14ac:dyDescent="0.25">
      <c r="A2" s="13">
        <v>1</v>
      </c>
      <c r="B2" s="13" t="s">
        <v>97</v>
      </c>
      <c r="D2" s="13">
        <v>1</v>
      </c>
      <c r="E2" s="13" t="s">
        <v>98</v>
      </c>
      <c r="G2" s="13">
        <v>1</v>
      </c>
      <c r="H2" s="13" t="s">
        <v>106</v>
      </c>
      <c r="J2" s="13">
        <v>1</v>
      </c>
      <c r="K2" s="13" t="s">
        <v>99</v>
      </c>
      <c r="M2" s="13">
        <v>1</v>
      </c>
      <c r="N2" s="13" t="s">
        <v>100</v>
      </c>
      <c r="P2" s="13" t="s">
        <v>166</v>
      </c>
      <c r="Q2" s="13" t="s">
        <v>167</v>
      </c>
      <c r="R2" s="13">
        <v>11</v>
      </c>
      <c r="S2" s="13" t="s">
        <v>91</v>
      </c>
      <c r="T2" s="13" t="s">
        <v>168</v>
      </c>
      <c r="V2" s="13">
        <v>1</v>
      </c>
      <c r="W2" s="43" t="s">
        <v>169</v>
      </c>
      <c r="Y2" s="65" t="s">
        <v>81</v>
      </c>
      <c r="Z2" s="66" t="s">
        <v>82</v>
      </c>
      <c r="AA2" s="67">
        <v>1</v>
      </c>
      <c r="AB2" s="72" t="s">
        <v>71</v>
      </c>
    </row>
    <row r="3" spans="1:28" x14ac:dyDescent="0.25">
      <c r="A3" s="13">
        <v>2</v>
      </c>
      <c r="B3" s="13" t="s">
        <v>101</v>
      </c>
      <c r="D3" s="13">
        <v>2</v>
      </c>
      <c r="E3" s="13" t="s">
        <v>102</v>
      </c>
      <c r="G3" s="13">
        <v>2</v>
      </c>
      <c r="H3" s="13" t="s">
        <v>109</v>
      </c>
      <c r="J3" s="13">
        <v>2</v>
      </c>
      <c r="K3" s="13" t="s">
        <v>103</v>
      </c>
      <c r="M3" s="13">
        <v>2</v>
      </c>
      <c r="N3" s="13" t="s">
        <v>104</v>
      </c>
      <c r="P3" s="13" t="s">
        <v>170</v>
      </c>
      <c r="Q3" s="13" t="s">
        <v>167</v>
      </c>
      <c r="R3" s="13">
        <v>20</v>
      </c>
      <c r="S3" s="13" t="s">
        <v>91</v>
      </c>
      <c r="T3" s="13" t="s">
        <v>168</v>
      </c>
      <c r="V3" s="13">
        <v>2</v>
      </c>
      <c r="W3" s="43" t="s">
        <v>171</v>
      </c>
      <c r="Y3" s="65" t="s">
        <v>83</v>
      </c>
      <c r="Z3" s="68" t="s">
        <v>84</v>
      </c>
      <c r="AA3" s="67">
        <v>2</v>
      </c>
      <c r="AB3" s="72" t="s">
        <v>72</v>
      </c>
    </row>
    <row r="4" spans="1:28" x14ac:dyDescent="0.25">
      <c r="D4" s="13">
        <v>3</v>
      </c>
      <c r="E4" s="13" t="s">
        <v>105</v>
      </c>
      <c r="G4" s="13">
        <v>3</v>
      </c>
      <c r="H4" s="13" t="s">
        <v>174</v>
      </c>
      <c r="J4" s="13">
        <v>3</v>
      </c>
      <c r="K4" s="13" t="s">
        <v>107</v>
      </c>
      <c r="M4" s="13">
        <v>3</v>
      </c>
      <c r="N4" s="13" t="s">
        <v>108</v>
      </c>
      <c r="P4" s="13" t="s">
        <v>172</v>
      </c>
      <c r="Q4" s="13" t="s">
        <v>167</v>
      </c>
      <c r="R4" s="13">
        <v>8</v>
      </c>
      <c r="S4" s="13" t="s">
        <v>91</v>
      </c>
      <c r="T4" s="13" t="s">
        <v>173</v>
      </c>
      <c r="Y4" s="65" t="s">
        <v>85</v>
      </c>
      <c r="AA4" s="67">
        <v>3</v>
      </c>
      <c r="AB4" s="72" t="s">
        <v>73</v>
      </c>
    </row>
    <row r="5" spans="1:28" x14ac:dyDescent="0.25">
      <c r="G5" s="13">
        <v>4</v>
      </c>
      <c r="H5" s="13" t="s">
        <v>175</v>
      </c>
      <c r="J5" s="13">
        <v>4</v>
      </c>
      <c r="K5" s="13" t="s">
        <v>110</v>
      </c>
      <c r="M5" s="13">
        <v>4</v>
      </c>
      <c r="N5" s="13" t="s">
        <v>111</v>
      </c>
      <c r="Y5" s="65" t="s">
        <v>86</v>
      </c>
      <c r="AA5" s="67">
        <v>4</v>
      </c>
      <c r="AB5" s="72" t="s">
        <v>74</v>
      </c>
    </row>
    <row r="6" spans="1:28" x14ac:dyDescent="0.25">
      <c r="G6" s="13">
        <v>5</v>
      </c>
      <c r="H6" s="13" t="s">
        <v>176</v>
      </c>
      <c r="J6" s="13">
        <v>5</v>
      </c>
      <c r="K6" s="13" t="s">
        <v>105</v>
      </c>
      <c r="Y6" s="65" t="s">
        <v>87</v>
      </c>
      <c r="AA6" s="67">
        <v>5</v>
      </c>
      <c r="AB6" s="72" t="s">
        <v>75</v>
      </c>
    </row>
    <row r="7" spans="1:28" x14ac:dyDescent="0.25">
      <c r="J7" s="13">
        <v>6</v>
      </c>
      <c r="K7" s="13" t="s">
        <v>102</v>
      </c>
      <c r="Y7" s="65" t="s">
        <v>88</v>
      </c>
      <c r="AA7" s="67">
        <v>6</v>
      </c>
      <c r="AB7" s="72" t="s">
        <v>76</v>
      </c>
    </row>
    <row r="8" spans="1:28" x14ac:dyDescent="0.25">
      <c r="Y8" s="69" t="s">
        <v>89</v>
      </c>
      <c r="AA8" s="70">
        <v>7</v>
      </c>
      <c r="AB8" s="73" t="s">
        <v>77</v>
      </c>
    </row>
  </sheetData>
  <customSheetViews>
    <customSheetView guid="{AEF9E62C-83A9-4673-8233-4BD95CE1CD85}" state="hidden">
      <selection activeCell="N6" sqref="N6"/>
    </customSheetView>
    <customSheetView guid="{BA562366-A36C-43E5-A385-816C6D2E948F}" state="hidden">
      <selection activeCell="N6" sqref="N6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50"/>
  </sheetPr>
  <dimension ref="A1:R2"/>
  <sheetViews>
    <sheetView workbookViewId="0">
      <selection activeCell="A2" sqref="A2"/>
    </sheetView>
  </sheetViews>
  <sheetFormatPr defaultColWidth="9.140625" defaultRowHeight="15" x14ac:dyDescent="0.25"/>
  <cols>
    <col min="1" max="1" width="18" style="13" customWidth="1"/>
    <col min="2" max="2" width="17.7109375" style="13" customWidth="1"/>
    <col min="3" max="3" width="42.7109375" style="13" customWidth="1"/>
    <col min="4" max="4" width="36.7109375" style="13" customWidth="1"/>
    <col min="5" max="5" width="22.5703125" style="13" customWidth="1"/>
    <col min="6" max="6" width="26.5703125" style="13" customWidth="1"/>
    <col min="7" max="7" width="24.140625" style="13" customWidth="1"/>
    <col min="8" max="8" width="13.85546875" style="13" customWidth="1"/>
    <col min="9" max="9" width="10.28515625" style="13" customWidth="1"/>
    <col min="10" max="10" width="15.140625" style="13" customWidth="1"/>
    <col min="11" max="11" width="14.7109375" style="13" customWidth="1"/>
    <col min="12" max="12" width="41" style="13" customWidth="1"/>
    <col min="13" max="13" width="15.7109375" style="13" customWidth="1"/>
    <col min="14" max="14" width="10.7109375" style="13" customWidth="1"/>
    <col min="15" max="15" width="10.140625" style="13" customWidth="1"/>
    <col min="16" max="16" width="9.140625" style="13"/>
    <col min="17" max="17" width="10.7109375" style="13" bestFit="1" customWidth="1"/>
    <col min="18" max="18" width="15" style="13" customWidth="1"/>
    <col min="19" max="16384" width="9.140625" style="13"/>
  </cols>
  <sheetData>
    <row r="1" spans="1:18" x14ac:dyDescent="0.25">
      <c r="A1" s="15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62</v>
      </c>
      <c r="H1" s="15" t="s">
        <v>63</v>
      </c>
      <c r="I1" s="15" t="s">
        <v>29</v>
      </c>
      <c r="J1" s="15" t="s">
        <v>64</v>
      </c>
      <c r="K1" s="15" t="s">
        <v>65</v>
      </c>
      <c r="L1" s="15" t="s">
        <v>30</v>
      </c>
      <c r="M1" s="15" t="s">
        <v>66</v>
      </c>
      <c r="N1" s="15" t="s">
        <v>67</v>
      </c>
      <c r="O1" s="15" t="s">
        <v>68</v>
      </c>
      <c r="P1" s="15" t="s">
        <v>69</v>
      </c>
      <c r="Q1" s="15" t="s">
        <v>90</v>
      </c>
      <c r="R1" s="15" t="s">
        <v>657</v>
      </c>
    </row>
    <row r="2" spans="1:18" x14ac:dyDescent="0.25">
      <c r="A2" s="13" t="s">
        <v>664</v>
      </c>
      <c r="B2" s="13">
        <v>1212121212</v>
      </c>
      <c r="C2" s="13" t="s">
        <v>665</v>
      </c>
      <c r="D2" s="13" t="s">
        <v>666</v>
      </c>
      <c r="E2" s="13">
        <v>1</v>
      </c>
      <c r="F2" s="13" t="s">
        <v>667</v>
      </c>
      <c r="G2" s="13" t="s">
        <v>623</v>
      </c>
      <c r="H2" s="13" t="s">
        <v>70</v>
      </c>
      <c r="I2" s="13">
        <v>11668300</v>
      </c>
      <c r="J2" s="13">
        <v>12121212</v>
      </c>
      <c r="K2" s="13">
        <v>121212121</v>
      </c>
      <c r="L2" s="13" t="s">
        <v>668</v>
      </c>
      <c r="R2" s="13" t="b">
        <v>0</v>
      </c>
    </row>
  </sheetData>
  <sortState ref="A2:R5224">
    <sortCondition ref="C2:C5224"/>
  </sortState>
  <customSheetViews>
    <customSheetView guid="{AEF9E62C-83A9-4673-8233-4BD95CE1CD85}" state="hidden" topLeftCell="A903">
      <selection activeCell="A950" sqref="A950"/>
    </customSheetView>
    <customSheetView guid="{BA562366-A36C-43E5-A385-816C6D2E948F}" state="hidden" topLeftCell="A903">
      <selection activeCell="D948" sqref="D948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B050"/>
  </sheetPr>
  <dimension ref="A1:BJ194"/>
  <sheetViews>
    <sheetView showGridLines="0" workbookViewId="0">
      <selection activeCell="J25" sqref="J25:Y25"/>
    </sheetView>
  </sheetViews>
  <sheetFormatPr defaultColWidth="9.140625" defaultRowHeight="15" x14ac:dyDescent="0.25"/>
  <cols>
    <col min="1" max="104" width="2" style="13" customWidth="1"/>
    <col min="105" max="16384" width="9.140625" style="13"/>
  </cols>
  <sheetData>
    <row r="1" spans="1:62" ht="11.25" customHeight="1" x14ac:dyDescent="0.25"/>
    <row r="2" spans="1:62" ht="11.25" customHeight="1" x14ac:dyDescent="0.25"/>
    <row r="3" spans="1:62" ht="11.25" customHeight="1" x14ac:dyDescent="0.25"/>
    <row r="4" spans="1:62" ht="11.25" customHeight="1" x14ac:dyDescent="0.25"/>
    <row r="5" spans="1:62" ht="11.25" customHeight="1" x14ac:dyDescent="0.25">
      <c r="A5" s="86" t="s">
        <v>18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</row>
    <row r="6" spans="1:62" ht="11.25" customHeight="1" x14ac:dyDescent="0.25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</row>
    <row r="7" spans="1:62" ht="11.25" customHeight="1" x14ac:dyDescent="0.2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</row>
    <row r="8" spans="1:62" ht="11.25" customHeight="1" x14ac:dyDescent="0.25">
      <c r="A8" s="5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</row>
    <row r="9" spans="1:62" ht="15" customHeight="1" x14ac:dyDescent="0.25">
      <c r="A9" s="5"/>
      <c r="B9" s="6"/>
      <c r="C9" s="6"/>
      <c r="D9" s="7" t="s">
        <v>19</v>
      </c>
      <c r="E9" s="8"/>
      <c r="F9" s="9"/>
      <c r="G9" s="9"/>
      <c r="H9" s="9"/>
      <c r="I9" s="9"/>
      <c r="J9" s="9"/>
      <c r="K9" s="9"/>
      <c r="L9" s="9"/>
      <c r="M9" s="10"/>
      <c r="N9" s="87">
        <v>43581</v>
      </c>
      <c r="O9" s="87"/>
      <c r="P9" s="87"/>
      <c r="Q9" s="87"/>
      <c r="R9" s="87"/>
      <c r="S9" s="87"/>
      <c r="T9" s="87"/>
      <c r="U9" s="87"/>
      <c r="V9" s="6"/>
      <c r="W9" s="6"/>
      <c r="X9" s="6"/>
      <c r="Y9" s="6"/>
      <c r="Z9" s="7" t="s">
        <v>20</v>
      </c>
      <c r="AA9" s="6"/>
      <c r="AB9" s="6"/>
      <c r="AC9" s="6"/>
      <c r="AD9" s="10"/>
      <c r="AE9" s="88">
        <v>7.9965277777777774E-2</v>
      </c>
      <c r="AF9" s="88"/>
      <c r="AG9" s="88"/>
      <c r="AH9" s="88"/>
      <c r="AI9" s="88"/>
      <c r="AJ9" s="88"/>
      <c r="AK9" s="7" t="s">
        <v>21</v>
      </c>
      <c r="AL9" s="6"/>
      <c r="AM9" s="6"/>
      <c r="AN9" s="6"/>
      <c r="AO9" s="6"/>
      <c r="AP9" s="10"/>
      <c r="AQ9" s="89"/>
      <c r="AR9" s="89"/>
      <c r="AS9" s="89"/>
      <c r="AT9" s="89"/>
      <c r="AU9" s="6"/>
      <c r="AV9" s="6"/>
      <c r="AW9" s="6"/>
    </row>
    <row r="10" spans="1:62" ht="15" customHeight="1" x14ac:dyDescent="0.25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BJ10" s="76"/>
    </row>
    <row r="11" spans="1:62" ht="15" customHeight="1" x14ac:dyDescent="0.25">
      <c r="A11" s="5"/>
      <c r="B11" s="6"/>
      <c r="C11" s="6"/>
      <c r="D11" s="7" t="s">
        <v>22</v>
      </c>
      <c r="E11" s="8"/>
      <c r="F11" s="6"/>
      <c r="G11" s="6"/>
      <c r="H11" s="6"/>
      <c r="I11" s="6"/>
      <c r="J11" s="6"/>
      <c r="K11" s="6"/>
      <c r="L11" s="90" t="s">
        <v>500</v>
      </c>
      <c r="M11" s="90"/>
      <c r="N11" s="90"/>
      <c r="O11" s="90"/>
      <c r="P11" s="90"/>
      <c r="Q11" s="90"/>
      <c r="R11" s="90"/>
      <c r="S11" s="90"/>
      <c r="T11" s="90"/>
      <c r="U11" s="6"/>
      <c r="V11" s="6"/>
      <c r="W11" s="6"/>
      <c r="X11" s="6"/>
      <c r="Y11" s="6"/>
      <c r="Z11" s="7" t="s">
        <v>20</v>
      </c>
      <c r="AA11" s="6"/>
      <c r="AB11" s="6"/>
      <c r="AC11" s="6"/>
      <c r="AD11" s="10"/>
      <c r="AE11" s="91">
        <v>0.66666666666666663</v>
      </c>
      <c r="AF11" s="89"/>
      <c r="AG11" s="89"/>
      <c r="AH11" s="89"/>
      <c r="AI11" s="89"/>
      <c r="AJ11" s="89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</row>
    <row r="12" spans="1:62" ht="15" customHeight="1" x14ac:dyDescent="0.25">
      <c r="A12" s="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</row>
    <row r="13" spans="1:62" ht="15" customHeight="1" x14ac:dyDescent="0.25">
      <c r="A13" s="5"/>
      <c r="B13" s="6"/>
      <c r="C13" s="6"/>
      <c r="D13" s="7" t="s">
        <v>23</v>
      </c>
      <c r="E13" s="8"/>
      <c r="F13" s="6"/>
      <c r="G13" s="10"/>
      <c r="H13" s="11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6"/>
      <c r="AV13" s="6"/>
      <c r="AW13" s="6"/>
      <c r="BA13" s="13" t="s">
        <v>500</v>
      </c>
    </row>
    <row r="14" spans="1:62" ht="15" customHeight="1" x14ac:dyDescent="0.25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</row>
    <row r="15" spans="1:62" ht="15" customHeight="1" x14ac:dyDescent="0.25">
      <c r="A15" s="5"/>
      <c r="B15" s="6"/>
      <c r="C15" s="6"/>
      <c r="D15" s="7" t="s">
        <v>24</v>
      </c>
      <c r="E15" s="8"/>
      <c r="F15" s="6"/>
      <c r="G15" s="6"/>
      <c r="H15" s="6"/>
      <c r="I15" s="6"/>
      <c r="J15" s="6"/>
      <c r="K15" s="11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6"/>
      <c r="AP15" s="7" t="s">
        <v>25</v>
      </c>
      <c r="AQ15" s="6"/>
      <c r="AR15" s="93"/>
      <c r="AS15" s="93"/>
      <c r="AT15" s="93"/>
      <c r="AU15" s="6"/>
      <c r="AV15" s="6"/>
      <c r="AW15" s="6"/>
    </row>
    <row r="16" spans="1:62" ht="15" customHeight="1" x14ac:dyDescent="0.25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</row>
    <row r="17" spans="1:49" ht="15" customHeight="1" x14ac:dyDescent="0.25">
      <c r="A17" s="5"/>
      <c r="B17" s="6"/>
      <c r="C17" s="6"/>
      <c r="D17" s="7" t="s">
        <v>26</v>
      </c>
      <c r="E17" s="8"/>
      <c r="F17" s="6"/>
      <c r="G17" s="6"/>
      <c r="H17" s="6"/>
      <c r="I17" s="10"/>
      <c r="J17" s="94"/>
      <c r="K17" s="94"/>
      <c r="L17" s="94"/>
      <c r="M17" s="94"/>
      <c r="N17" s="94"/>
      <c r="O17" s="94"/>
      <c r="P17" s="94"/>
      <c r="Q17" s="94"/>
      <c r="R17" s="6"/>
      <c r="S17" s="7" t="s">
        <v>27</v>
      </c>
      <c r="T17" s="6"/>
      <c r="U17" s="6"/>
      <c r="V17" s="6"/>
      <c r="W17" s="6"/>
      <c r="X17" s="10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6"/>
      <c r="AL17" s="7" t="s">
        <v>28</v>
      </c>
      <c r="AM17" s="6"/>
      <c r="AN17" s="6"/>
      <c r="AO17" s="6"/>
      <c r="AP17" s="6"/>
      <c r="AQ17" s="6"/>
      <c r="AR17" s="95"/>
      <c r="AS17" s="95"/>
      <c r="AT17" s="95"/>
      <c r="AU17" s="6"/>
      <c r="AV17" s="6"/>
      <c r="AW17" s="6"/>
    </row>
    <row r="18" spans="1:49" ht="15" customHeight="1" x14ac:dyDescent="0.25">
      <c r="A18" s="5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</row>
    <row r="19" spans="1:49" ht="15" customHeight="1" x14ac:dyDescent="0.25">
      <c r="A19" s="5"/>
      <c r="B19" s="12"/>
      <c r="C19" s="12"/>
      <c r="D19" s="7" t="s">
        <v>29</v>
      </c>
      <c r="E19" s="12"/>
      <c r="F19" s="12"/>
      <c r="G19" s="96"/>
      <c r="H19" s="96"/>
      <c r="I19" s="96"/>
      <c r="J19" s="96"/>
      <c r="K19" s="96"/>
      <c r="L19" s="96"/>
      <c r="M19" s="96"/>
      <c r="N19" s="12"/>
      <c r="O19" s="7" t="s">
        <v>30</v>
      </c>
      <c r="P19" s="12"/>
      <c r="Q19" s="12"/>
      <c r="R19" s="12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12"/>
      <c r="AV19" s="12"/>
      <c r="AW19" s="12"/>
    </row>
    <row r="20" spans="1:49" ht="15" customHeight="1" x14ac:dyDescent="0.25">
      <c r="A20" s="5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</row>
    <row r="21" spans="1:49" ht="15" customHeight="1" x14ac:dyDescent="0.25">
      <c r="A21" s="5"/>
      <c r="B21" s="12"/>
      <c r="C21" s="12"/>
      <c r="D21" s="7" t="s">
        <v>31</v>
      </c>
      <c r="E21" s="12"/>
      <c r="F21" s="12"/>
      <c r="G21" s="12"/>
      <c r="H21" s="12"/>
      <c r="I21" s="12"/>
      <c r="J21" s="12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12"/>
      <c r="AB21" s="7" t="s">
        <v>32</v>
      </c>
      <c r="AC21" s="12"/>
      <c r="AD21" s="12"/>
      <c r="AE21" s="1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12"/>
      <c r="AV21" s="12"/>
      <c r="AW21" s="12"/>
    </row>
    <row r="22" spans="1:49" ht="15" customHeight="1" x14ac:dyDescent="0.25">
      <c r="A22" s="5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</row>
    <row r="23" spans="1:49" ht="15" customHeight="1" x14ac:dyDescent="0.25">
      <c r="A23" s="5"/>
      <c r="B23" s="12"/>
      <c r="C23" s="12"/>
      <c r="D23" s="7" t="s">
        <v>33</v>
      </c>
      <c r="E23" s="12"/>
      <c r="F23" s="12"/>
      <c r="G23" s="98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12"/>
      <c r="Y23" s="7" t="s">
        <v>34</v>
      </c>
      <c r="Z23" s="12"/>
      <c r="AA23" s="12"/>
      <c r="AB23" s="1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12"/>
      <c r="AV23" s="12"/>
      <c r="AW23" s="12"/>
    </row>
    <row r="24" spans="1:49" ht="15" customHeight="1" x14ac:dyDescent="0.25">
      <c r="A24" s="5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</row>
    <row r="25" spans="1:49" ht="15" customHeight="1" x14ac:dyDescent="0.25">
      <c r="A25" s="5"/>
      <c r="B25" s="12"/>
      <c r="C25" s="12"/>
      <c r="D25" s="7" t="s">
        <v>35</v>
      </c>
      <c r="E25" s="12"/>
      <c r="F25" s="12"/>
      <c r="G25" s="12"/>
      <c r="H25" s="12"/>
      <c r="I25" s="12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12"/>
      <c r="AA25" s="7" t="s">
        <v>36</v>
      </c>
      <c r="AB25" s="12"/>
      <c r="AC25" s="12"/>
      <c r="AD25" s="12"/>
      <c r="AE25" s="95"/>
      <c r="AF25" s="95"/>
      <c r="AG25" s="95"/>
      <c r="AH25" s="95"/>
      <c r="AI25" s="95"/>
      <c r="AJ25" s="95"/>
      <c r="AK25" s="7" t="s">
        <v>37</v>
      </c>
      <c r="AL25" s="12"/>
      <c r="AM25" s="12"/>
      <c r="AN25" s="12"/>
      <c r="AO25" s="12"/>
      <c r="AP25" s="99"/>
      <c r="AQ25" s="93"/>
      <c r="AR25" s="93"/>
      <c r="AS25" s="93"/>
      <c r="AT25" s="93"/>
      <c r="AU25" s="12"/>
      <c r="AV25" s="12"/>
      <c r="AW25" s="12"/>
    </row>
    <row r="26" spans="1:49" ht="15" customHeight="1" x14ac:dyDescent="0.25">
      <c r="A26" s="5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</row>
    <row r="27" spans="1:49" ht="15" customHeight="1" x14ac:dyDescent="0.25">
      <c r="A27" s="5"/>
      <c r="B27" s="12"/>
      <c r="C27" s="12"/>
      <c r="D27" s="7" t="s">
        <v>38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12"/>
      <c r="AR27" s="95"/>
      <c r="AS27" s="95"/>
      <c r="AT27" s="95"/>
      <c r="AU27" s="12"/>
      <c r="AV27" s="12"/>
      <c r="AW27" s="12"/>
    </row>
    <row r="28" spans="1:49" ht="15" customHeight="1" x14ac:dyDescent="0.25">
      <c r="A28" s="5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>
        <v>35950638808</v>
      </c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</row>
    <row r="29" spans="1:49" ht="15" customHeight="1" x14ac:dyDescent="0.25">
      <c r="A29" s="5"/>
      <c r="B29" s="12"/>
      <c r="C29" s="12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12"/>
      <c r="V29" s="95"/>
      <c r="W29" s="95"/>
      <c r="X29" s="95"/>
      <c r="Y29" s="12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12"/>
      <c r="AR29" s="95"/>
      <c r="AS29" s="95"/>
      <c r="AT29" s="95"/>
      <c r="AU29" s="12"/>
      <c r="AV29" s="12"/>
      <c r="AW29" s="12"/>
    </row>
    <row r="30" spans="1:49" ht="15" customHeight="1" x14ac:dyDescent="0.25">
      <c r="A30" s="5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</row>
    <row r="31" spans="1:49" ht="15" customHeight="1" x14ac:dyDescent="0.25">
      <c r="A31" s="5"/>
      <c r="B31" s="12"/>
      <c r="C31" s="12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12"/>
      <c r="V31" s="95"/>
      <c r="W31" s="95"/>
      <c r="X31" s="95"/>
      <c r="Y31" s="12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12"/>
      <c r="AR31" s="95"/>
      <c r="AS31" s="95"/>
      <c r="AT31" s="95"/>
      <c r="AU31" s="12"/>
      <c r="AV31" s="12"/>
      <c r="AW31" s="12"/>
    </row>
    <row r="32" spans="1:49" ht="15" customHeight="1" x14ac:dyDescent="0.25">
      <c r="A32" s="5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</row>
    <row r="33" spans="1:49" ht="15" customHeight="1" x14ac:dyDescent="0.25">
      <c r="A33" s="5"/>
      <c r="B33" s="12"/>
      <c r="C33" s="12"/>
      <c r="D33" s="7" t="s">
        <v>39</v>
      </c>
      <c r="E33" s="12"/>
      <c r="F33" s="12"/>
      <c r="G33" s="12"/>
      <c r="H33" s="12"/>
      <c r="I33" s="12"/>
      <c r="J33" s="12"/>
      <c r="K33" s="12"/>
      <c r="L33" s="11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2"/>
      <c r="AV33" s="12"/>
      <c r="AW33" s="12"/>
    </row>
    <row r="34" spans="1:49" ht="11.25" customHeight="1" x14ac:dyDescent="0.25">
      <c r="A34" s="5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</row>
    <row r="35" spans="1:49" ht="11.25" customHeight="1" x14ac:dyDescent="0.25">
      <c r="A35" s="5"/>
      <c r="B35" s="12"/>
      <c r="C35" s="12"/>
      <c r="D35" s="105" t="s">
        <v>40</v>
      </c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2"/>
      <c r="AV35" s="12"/>
      <c r="AW35" s="12"/>
    </row>
    <row r="36" spans="1:49" ht="11.25" customHeight="1" x14ac:dyDescent="0.25">
      <c r="A36" s="5"/>
      <c r="B36" s="12"/>
      <c r="C36" s="12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2"/>
      <c r="AV36" s="12"/>
      <c r="AW36" s="12"/>
    </row>
    <row r="37" spans="1:49" ht="11.25" customHeight="1" x14ac:dyDescent="0.25">
      <c r="A37" s="5"/>
      <c r="B37" s="12"/>
      <c r="C37" s="12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2"/>
      <c r="AV37" s="12"/>
      <c r="AW37" s="12"/>
    </row>
    <row r="38" spans="1:49" ht="12" customHeight="1" x14ac:dyDescent="0.25">
      <c r="A38" s="5"/>
      <c r="B38" s="12"/>
      <c r="C38" s="12"/>
      <c r="D38" s="12" t="s">
        <v>41</v>
      </c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</row>
    <row r="39" spans="1:49" ht="12" customHeight="1" x14ac:dyDescent="0.25">
      <c r="A39" s="5"/>
      <c r="B39" s="12"/>
      <c r="C39" s="12"/>
      <c r="D39" s="12" t="s">
        <v>42</v>
      </c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</row>
    <row r="40" spans="1:49" ht="12" customHeight="1" x14ac:dyDescent="0.25">
      <c r="A40" s="5"/>
      <c r="B40" s="12"/>
      <c r="C40" s="12"/>
      <c r="D40" s="12" t="s">
        <v>43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</row>
    <row r="41" spans="1:49" ht="12" customHeight="1" x14ac:dyDescent="0.25">
      <c r="A41" s="5"/>
      <c r="B41" s="12"/>
      <c r="C41" s="12"/>
      <c r="D41" s="12" t="s">
        <v>501</v>
      </c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</row>
    <row r="42" spans="1:49" ht="12" customHeight="1" x14ac:dyDescent="0.25">
      <c r="A42" s="5"/>
      <c r="B42" s="12"/>
      <c r="C42" s="12"/>
      <c r="D42" s="12" t="s">
        <v>659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</row>
    <row r="43" spans="1:49" ht="12" customHeight="1" x14ac:dyDescent="0.25">
      <c r="A43" s="5"/>
      <c r="B43" s="12"/>
      <c r="C43" s="12"/>
      <c r="D43" s="12" t="s">
        <v>44</v>
      </c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</row>
    <row r="44" spans="1:49" ht="12" customHeight="1" x14ac:dyDescent="0.25">
      <c r="A44" s="5"/>
      <c r="B44" s="12"/>
      <c r="C44" s="12"/>
      <c r="D44" s="12" t="s">
        <v>45</v>
      </c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</row>
    <row r="45" spans="1:49" ht="12" customHeight="1" x14ac:dyDescent="0.25">
      <c r="A45" s="5"/>
      <c r="B45" s="12"/>
      <c r="C45" s="12"/>
      <c r="D45" s="12" t="s">
        <v>46</v>
      </c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</row>
    <row r="46" spans="1:49" ht="12" customHeight="1" x14ac:dyDescent="0.25">
      <c r="A46" s="5"/>
      <c r="B46" s="12"/>
      <c r="C46" s="12"/>
      <c r="D46" s="12" t="s">
        <v>658</v>
      </c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</row>
    <row r="47" spans="1:49" ht="12" customHeight="1" x14ac:dyDescent="0.25">
      <c r="A47" s="5"/>
      <c r="B47" s="12"/>
      <c r="C47" s="12"/>
      <c r="D47" s="12" t="s">
        <v>47</v>
      </c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</row>
    <row r="48" spans="1:49" ht="12" customHeight="1" x14ac:dyDescent="0.25">
      <c r="A48" s="5"/>
      <c r="B48" s="12"/>
      <c r="C48" s="12"/>
      <c r="D48" s="12" t="s">
        <v>660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</row>
    <row r="49" spans="1:49" ht="12" customHeight="1" x14ac:dyDescent="0.25">
      <c r="A49" s="5"/>
      <c r="B49" s="12"/>
      <c r="C49" s="12"/>
      <c r="D49" s="12" t="s">
        <v>48</v>
      </c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</row>
    <row r="50" spans="1:49" ht="12" customHeight="1" x14ac:dyDescent="0.25">
      <c r="A50" s="5"/>
      <c r="B50" s="12"/>
      <c r="C50" s="12"/>
      <c r="D50" s="12" t="s">
        <v>49</v>
      </c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</row>
    <row r="51" spans="1:49" ht="12" customHeight="1" x14ac:dyDescent="0.25">
      <c r="A51" s="5"/>
      <c r="B51" s="12"/>
      <c r="C51" s="12"/>
      <c r="D51" s="12"/>
      <c r="E51" s="12"/>
      <c r="F51" s="12" t="s">
        <v>50</v>
      </c>
      <c r="G51" s="12"/>
      <c r="H51" s="12"/>
      <c r="I51" s="12"/>
      <c r="J51" s="8"/>
      <c r="K51" s="8"/>
      <c r="L51" s="12" t="s">
        <v>51</v>
      </c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</row>
    <row r="52" spans="1:49" ht="12" customHeight="1" x14ac:dyDescent="0.25">
      <c r="A52" s="5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</row>
    <row r="53" spans="1:49" ht="12" hidden="1" customHeight="1" x14ac:dyDescent="0.25">
      <c r="A53" s="5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</row>
    <row r="54" spans="1:49" ht="6.75" customHeight="1" x14ac:dyDescent="0.25">
      <c r="A54" s="5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</row>
    <row r="55" spans="1:49" ht="11.25" customHeight="1" x14ac:dyDescent="0.25">
      <c r="A55" s="5"/>
      <c r="B55" s="12"/>
      <c r="C55" s="12"/>
      <c r="D55" s="12" t="s">
        <v>52</v>
      </c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00" t="s">
        <v>500</v>
      </c>
      <c r="R55" s="95"/>
      <c r="S55" s="95"/>
      <c r="T55" s="95"/>
      <c r="U55" s="95"/>
      <c r="V55" s="95"/>
      <c r="W55" s="95"/>
      <c r="X55" s="95"/>
      <c r="Y55" s="95"/>
      <c r="Z55" s="12"/>
      <c r="AA55" s="12" t="s">
        <v>53</v>
      </c>
      <c r="AB55" s="12"/>
      <c r="AC55" s="101">
        <v>0.66666666666666663</v>
      </c>
      <c r="AD55" s="101"/>
      <c r="AE55" s="101"/>
      <c r="AF55" s="101"/>
      <c r="AG55" s="101"/>
      <c r="AH55" s="101"/>
      <c r="AI55" s="12" t="s">
        <v>54</v>
      </c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</row>
    <row r="56" spans="1:49" ht="11.25" customHeight="1" x14ac:dyDescent="0.25">
      <c r="A56" s="5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</row>
    <row r="57" spans="1:49" ht="11.25" customHeight="1" x14ac:dyDescent="0.25">
      <c r="A57" s="5"/>
      <c r="B57" s="102" t="s">
        <v>55</v>
      </c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  <c r="AT57" s="102"/>
      <c r="AU57" s="102"/>
      <c r="AV57" s="102"/>
      <c r="AW57" s="12"/>
    </row>
    <row r="58" spans="1:49" ht="11.25" customHeight="1" x14ac:dyDescent="0.25">
      <c r="A58" s="5"/>
      <c r="B58" s="103" t="s">
        <v>56</v>
      </c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  <c r="AJ58" s="103"/>
      <c r="AK58" s="103"/>
      <c r="AL58" s="103"/>
      <c r="AM58" s="103"/>
      <c r="AN58" s="103"/>
      <c r="AO58" s="103"/>
      <c r="AP58" s="103"/>
      <c r="AQ58" s="103"/>
      <c r="AR58" s="103"/>
      <c r="AS58" s="103"/>
      <c r="AT58" s="103"/>
      <c r="AU58" s="103"/>
      <c r="AV58" s="103"/>
      <c r="AW58" s="12"/>
    </row>
    <row r="59" spans="1:49" ht="11.25" customHeight="1" x14ac:dyDescent="0.25">
      <c r="A59" s="5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</row>
    <row r="60" spans="1:49" ht="11.25" customHeight="1" x14ac:dyDescent="0.25">
      <c r="A60" s="5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</row>
    <row r="61" spans="1:49" ht="11.25" customHeight="1" x14ac:dyDescent="0.25">
      <c r="A61" s="5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</row>
    <row r="62" spans="1:49" ht="11.25" customHeight="1" x14ac:dyDescent="0.25">
      <c r="A62" s="5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</row>
    <row r="63" spans="1:49" ht="11.25" customHeight="1" x14ac:dyDescent="0.25">
      <c r="A63" s="5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</row>
    <row r="64" spans="1:49" ht="11.25" customHeight="1" x14ac:dyDescent="0.25"/>
    <row r="65" ht="11.25" customHeight="1" x14ac:dyDescent="0.25"/>
    <row r="66" ht="11.25" customHeight="1" x14ac:dyDescent="0.25"/>
    <row r="67" ht="11.25" customHeight="1" x14ac:dyDescent="0.25"/>
    <row r="68" ht="11.25" customHeight="1" x14ac:dyDescent="0.25"/>
    <row r="69" ht="11.25" customHeight="1" x14ac:dyDescent="0.25"/>
    <row r="70" ht="11.25" customHeight="1" x14ac:dyDescent="0.25"/>
    <row r="71" ht="11.25" customHeight="1" x14ac:dyDescent="0.25"/>
    <row r="72" ht="11.25" customHeight="1" x14ac:dyDescent="0.25"/>
    <row r="73" ht="11.25" customHeight="1" x14ac:dyDescent="0.25"/>
    <row r="74" ht="11.25" customHeight="1" x14ac:dyDescent="0.25"/>
    <row r="75" ht="11.25" customHeight="1" x14ac:dyDescent="0.25"/>
    <row r="76" ht="11.25" customHeight="1" x14ac:dyDescent="0.25"/>
    <row r="77" ht="11.25" customHeight="1" x14ac:dyDescent="0.25"/>
    <row r="78" ht="11.25" customHeight="1" x14ac:dyDescent="0.25"/>
    <row r="79" ht="11.25" customHeight="1" x14ac:dyDescent="0.25"/>
    <row r="80" ht="11.25" customHeight="1" x14ac:dyDescent="0.25"/>
    <row r="81" ht="11.25" customHeight="1" x14ac:dyDescent="0.25"/>
    <row r="82" ht="11.25" customHeight="1" x14ac:dyDescent="0.25"/>
    <row r="83" ht="11.25" customHeight="1" x14ac:dyDescent="0.25"/>
    <row r="84" ht="11.25" customHeight="1" x14ac:dyDescent="0.25"/>
    <row r="85" ht="11.25" customHeight="1" x14ac:dyDescent="0.25"/>
    <row r="86" ht="11.25" customHeight="1" x14ac:dyDescent="0.25"/>
    <row r="87" ht="11.25" customHeight="1" x14ac:dyDescent="0.25"/>
    <row r="88" ht="11.25" customHeight="1" x14ac:dyDescent="0.25"/>
    <row r="89" ht="11.25" customHeight="1" x14ac:dyDescent="0.25"/>
    <row r="90" ht="11.25" customHeight="1" x14ac:dyDescent="0.25"/>
    <row r="91" ht="11.25" customHeight="1" x14ac:dyDescent="0.25"/>
    <row r="92" ht="11.25" customHeight="1" x14ac:dyDescent="0.25"/>
    <row r="93" ht="11.25" customHeight="1" x14ac:dyDescent="0.25"/>
    <row r="94" ht="11.25" customHeight="1" x14ac:dyDescent="0.25"/>
    <row r="95" ht="11.25" customHeight="1" x14ac:dyDescent="0.25"/>
    <row r="96" ht="11.25" customHeight="1" x14ac:dyDescent="0.25"/>
    <row r="97" ht="11.25" customHeight="1" x14ac:dyDescent="0.25"/>
    <row r="98" ht="11.25" customHeight="1" x14ac:dyDescent="0.25"/>
    <row r="99" ht="11.25" customHeight="1" x14ac:dyDescent="0.25"/>
    <row r="100" ht="11.25" customHeight="1" x14ac:dyDescent="0.25"/>
    <row r="101" ht="11.25" customHeight="1" x14ac:dyDescent="0.25"/>
    <row r="102" ht="11.25" customHeight="1" x14ac:dyDescent="0.25"/>
    <row r="103" ht="11.25" customHeight="1" x14ac:dyDescent="0.25"/>
    <row r="104" ht="11.25" customHeight="1" x14ac:dyDescent="0.25"/>
    <row r="105" ht="11.25" customHeight="1" x14ac:dyDescent="0.25"/>
    <row r="106" ht="11.25" customHeight="1" x14ac:dyDescent="0.25"/>
    <row r="107" ht="11.25" customHeight="1" x14ac:dyDescent="0.25"/>
    <row r="108" ht="11.25" customHeight="1" x14ac:dyDescent="0.25"/>
    <row r="109" ht="11.25" customHeight="1" x14ac:dyDescent="0.25"/>
    <row r="110" ht="11.25" customHeight="1" x14ac:dyDescent="0.25"/>
    <row r="111" ht="11.25" customHeight="1" x14ac:dyDescent="0.25"/>
    <row r="112" ht="11.25" customHeight="1" x14ac:dyDescent="0.25"/>
    <row r="113" ht="11.25" customHeight="1" x14ac:dyDescent="0.25"/>
    <row r="114" ht="11.25" customHeight="1" x14ac:dyDescent="0.25"/>
    <row r="115" ht="11.25" customHeight="1" x14ac:dyDescent="0.25"/>
    <row r="116" ht="11.25" customHeight="1" x14ac:dyDescent="0.25"/>
    <row r="117" ht="11.25" customHeight="1" x14ac:dyDescent="0.25"/>
    <row r="118" ht="11.25" customHeight="1" x14ac:dyDescent="0.25"/>
    <row r="119" ht="11.25" customHeight="1" x14ac:dyDescent="0.25"/>
    <row r="120" ht="11.25" customHeight="1" x14ac:dyDescent="0.25"/>
    <row r="121" ht="11.25" customHeight="1" x14ac:dyDescent="0.25"/>
    <row r="122" ht="11.25" customHeight="1" x14ac:dyDescent="0.25"/>
    <row r="123" ht="11.25" customHeight="1" x14ac:dyDescent="0.25"/>
    <row r="124" ht="11.25" customHeight="1" x14ac:dyDescent="0.25"/>
    <row r="125" ht="11.25" customHeight="1" x14ac:dyDescent="0.25"/>
    <row r="126" ht="11.25" customHeight="1" x14ac:dyDescent="0.25"/>
    <row r="127" ht="11.25" customHeight="1" x14ac:dyDescent="0.25"/>
    <row r="128" ht="11.25" customHeight="1" x14ac:dyDescent="0.25"/>
    <row r="129" ht="11.25" customHeight="1" x14ac:dyDescent="0.25"/>
    <row r="130" ht="11.25" customHeight="1" x14ac:dyDescent="0.25"/>
    <row r="131" ht="11.25" customHeight="1" x14ac:dyDescent="0.25"/>
    <row r="132" ht="11.25" customHeight="1" x14ac:dyDescent="0.25"/>
    <row r="133" ht="11.25" customHeight="1" x14ac:dyDescent="0.25"/>
    <row r="134" ht="11.25" customHeight="1" x14ac:dyDescent="0.25"/>
    <row r="135" ht="11.25" customHeight="1" x14ac:dyDescent="0.25"/>
    <row r="136" ht="11.25" customHeight="1" x14ac:dyDescent="0.25"/>
    <row r="137" ht="11.25" customHeight="1" x14ac:dyDescent="0.25"/>
    <row r="138" ht="11.25" customHeight="1" x14ac:dyDescent="0.25"/>
    <row r="139" ht="11.25" customHeight="1" x14ac:dyDescent="0.25"/>
    <row r="140" ht="11.25" customHeight="1" x14ac:dyDescent="0.25"/>
    <row r="141" ht="11.25" customHeight="1" x14ac:dyDescent="0.25"/>
    <row r="142" ht="11.25" customHeight="1" x14ac:dyDescent="0.25"/>
    <row r="143" ht="11.25" customHeight="1" x14ac:dyDescent="0.25"/>
    <row r="144" ht="11.25" customHeight="1" x14ac:dyDescent="0.25"/>
    <row r="145" ht="11.25" customHeight="1" x14ac:dyDescent="0.25"/>
    <row r="146" ht="11.25" customHeight="1" x14ac:dyDescent="0.25"/>
    <row r="147" ht="11.25" customHeight="1" x14ac:dyDescent="0.25"/>
    <row r="148" ht="11.25" customHeight="1" x14ac:dyDescent="0.25"/>
    <row r="149" ht="11.25" customHeight="1" x14ac:dyDescent="0.25"/>
    <row r="150" ht="11.25" customHeight="1" x14ac:dyDescent="0.25"/>
    <row r="151" ht="11.25" customHeight="1" x14ac:dyDescent="0.25"/>
    <row r="152" ht="11.25" customHeight="1" x14ac:dyDescent="0.25"/>
    <row r="153" ht="11.25" customHeight="1" x14ac:dyDescent="0.25"/>
    <row r="154" ht="11.25" customHeight="1" x14ac:dyDescent="0.25"/>
    <row r="155" ht="11.25" customHeight="1" x14ac:dyDescent="0.25"/>
    <row r="156" ht="11.25" customHeight="1" x14ac:dyDescent="0.25"/>
    <row r="157" ht="11.25" customHeight="1" x14ac:dyDescent="0.25"/>
    <row r="158" ht="11.25" customHeight="1" x14ac:dyDescent="0.25"/>
    <row r="159" ht="11.25" customHeight="1" x14ac:dyDescent="0.25"/>
    <row r="160" ht="11.25" customHeight="1" x14ac:dyDescent="0.25"/>
    <row r="161" ht="11.25" customHeight="1" x14ac:dyDescent="0.25"/>
    <row r="162" ht="11.25" customHeight="1" x14ac:dyDescent="0.25"/>
    <row r="163" ht="11.25" customHeight="1" x14ac:dyDescent="0.25"/>
    <row r="164" ht="11.25" customHeight="1" x14ac:dyDescent="0.25"/>
    <row r="165" ht="11.25" customHeight="1" x14ac:dyDescent="0.25"/>
    <row r="166" ht="11.25" customHeight="1" x14ac:dyDescent="0.25"/>
    <row r="167" ht="11.25" customHeight="1" x14ac:dyDescent="0.25"/>
    <row r="168" ht="11.25" customHeight="1" x14ac:dyDescent="0.25"/>
    <row r="169" ht="11.25" customHeight="1" x14ac:dyDescent="0.25"/>
    <row r="170" ht="11.25" customHeight="1" x14ac:dyDescent="0.25"/>
    <row r="171" ht="11.25" customHeight="1" x14ac:dyDescent="0.25"/>
    <row r="172" ht="11.25" customHeight="1" x14ac:dyDescent="0.25"/>
    <row r="173" ht="11.25" customHeight="1" x14ac:dyDescent="0.25"/>
    <row r="174" ht="11.25" customHeight="1" x14ac:dyDescent="0.25"/>
    <row r="175" ht="11.25" customHeight="1" x14ac:dyDescent="0.25"/>
    <row r="176" ht="11.25" customHeight="1" x14ac:dyDescent="0.25"/>
    <row r="177" ht="11.25" customHeight="1" x14ac:dyDescent="0.25"/>
    <row r="178" ht="11.25" customHeight="1" x14ac:dyDescent="0.25"/>
    <row r="179" ht="11.25" customHeight="1" x14ac:dyDescent="0.25"/>
    <row r="180" ht="11.25" customHeight="1" x14ac:dyDescent="0.25"/>
    <row r="181" ht="11.25" customHeight="1" x14ac:dyDescent="0.25"/>
    <row r="182" ht="11.25" customHeight="1" x14ac:dyDescent="0.25"/>
    <row r="183" ht="11.25" customHeight="1" x14ac:dyDescent="0.25"/>
    <row r="184" ht="11.25" customHeight="1" x14ac:dyDescent="0.25"/>
    <row r="185" ht="11.25" customHeight="1" x14ac:dyDescent="0.25"/>
    <row r="186" ht="11.25" customHeight="1" x14ac:dyDescent="0.25"/>
    <row r="187" ht="11.25" customHeight="1" x14ac:dyDescent="0.25"/>
    <row r="188" ht="11.25" customHeight="1" x14ac:dyDescent="0.25"/>
    <row r="189" ht="11.25" customHeight="1" x14ac:dyDescent="0.25"/>
    <row r="190" ht="11.25" customHeight="1" x14ac:dyDescent="0.25"/>
    <row r="191" ht="11.25" customHeight="1" x14ac:dyDescent="0.25"/>
    <row r="192" ht="11.25" customHeight="1" x14ac:dyDescent="0.25"/>
    <row r="193" ht="11.25" customHeight="1" x14ac:dyDescent="0.25"/>
    <row r="194" ht="11.25" customHeight="1" x14ac:dyDescent="0.25"/>
  </sheetData>
  <customSheetViews>
    <customSheetView guid="{AEF9E62C-83A9-4673-8233-4BD95CE1CD85}" showPageBreaks="1" showGridLines="0" state="hidden">
      <selection activeCell="BA13" sqref="BA13"/>
    </customSheetView>
    <customSheetView guid="{BA562366-A36C-43E5-A385-816C6D2E948F}" showPageBreaks="1" showGridLines="0" printArea="1" state="hidden">
      <selection activeCell="BA13" sqref="BA13"/>
      <pageMargins left="0.25" right="0.25" top="0.75" bottom="0.75" header="0.3" footer="0.3"/>
      <pageSetup paperSize="9" orientation="portrait" horizontalDpi="300" verticalDpi="300" r:id="rId1"/>
    </customSheetView>
  </customSheetViews>
  <mergeCells count="37">
    <mergeCell ref="Q55:Y55"/>
    <mergeCell ref="AC55:AH55"/>
    <mergeCell ref="B57:AV57"/>
    <mergeCell ref="B58:AV58"/>
    <mergeCell ref="D31:T31"/>
    <mergeCell ref="V31:X31"/>
    <mergeCell ref="Z31:AP31"/>
    <mergeCell ref="AR31:AT31"/>
    <mergeCell ref="M33:AT33"/>
    <mergeCell ref="D35:AT36"/>
    <mergeCell ref="D29:T29"/>
    <mergeCell ref="V29:X29"/>
    <mergeCell ref="Z29:AP29"/>
    <mergeCell ref="AR29:AT29"/>
    <mergeCell ref="G19:M19"/>
    <mergeCell ref="S19:AT19"/>
    <mergeCell ref="K21:Z21"/>
    <mergeCell ref="AF21:AT21"/>
    <mergeCell ref="G23:W23"/>
    <mergeCell ref="AC23:AT23"/>
    <mergeCell ref="J25:Y25"/>
    <mergeCell ref="AE25:AJ25"/>
    <mergeCell ref="AP25:AT25"/>
    <mergeCell ref="Z27:AP27"/>
    <mergeCell ref="AR27:AT27"/>
    <mergeCell ref="I13:AT13"/>
    <mergeCell ref="L15:AN15"/>
    <mergeCell ref="AR15:AT15"/>
    <mergeCell ref="J17:Q17"/>
    <mergeCell ref="Y17:AJ17"/>
    <mergeCell ref="AR17:AT17"/>
    <mergeCell ref="A5:AW7"/>
    <mergeCell ref="N9:U9"/>
    <mergeCell ref="AE9:AJ9"/>
    <mergeCell ref="AQ9:AT9"/>
    <mergeCell ref="L11:T11"/>
    <mergeCell ref="AE11:AJ11"/>
  </mergeCells>
  <pageMargins left="0.25" right="0.25" top="0.75" bottom="0.75" header="0.3" footer="0.3"/>
  <pageSetup paperSize="9" orientation="portrait" verticalDpi="30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0000"/>
  </sheetPr>
  <dimension ref="A1:G121"/>
  <sheetViews>
    <sheetView workbookViewId="0">
      <selection activeCell="A2" sqref="A2"/>
    </sheetView>
  </sheetViews>
  <sheetFormatPr defaultColWidth="9.140625" defaultRowHeight="15" x14ac:dyDescent="0.25"/>
  <cols>
    <col min="1" max="1" width="41.28515625" style="13" customWidth="1"/>
    <col min="2" max="3" width="14.7109375" style="13" customWidth="1"/>
    <col min="4" max="4" width="19.5703125" style="13" customWidth="1"/>
    <col min="5" max="5" width="9.140625" style="13" customWidth="1"/>
    <col min="6" max="6" width="7.140625" style="13" customWidth="1"/>
    <col min="7" max="7" width="20.85546875" style="13" customWidth="1"/>
    <col min="8" max="16384" width="9.140625" style="13"/>
  </cols>
  <sheetData>
    <row r="1" spans="1:7" x14ac:dyDescent="0.25">
      <c r="A1" s="19" t="s">
        <v>423</v>
      </c>
      <c r="B1" s="19" t="s">
        <v>424</v>
      </c>
      <c r="C1" s="19" t="s">
        <v>425</v>
      </c>
      <c r="D1" s="19" t="s">
        <v>78</v>
      </c>
      <c r="E1" s="19" t="s">
        <v>426</v>
      </c>
      <c r="F1" s="19" t="s">
        <v>427</v>
      </c>
      <c r="G1" s="19" t="s">
        <v>79</v>
      </c>
    </row>
    <row r="2" spans="1:7" x14ac:dyDescent="0.25">
      <c r="A2" s="13" t="s">
        <v>428</v>
      </c>
      <c r="C2" s="13" t="s">
        <v>429</v>
      </c>
      <c r="D2" s="13" t="s">
        <v>83</v>
      </c>
      <c r="E2" s="13">
        <v>70</v>
      </c>
      <c r="F2" s="13">
        <v>7.6</v>
      </c>
      <c r="G2" s="13" t="s">
        <v>179</v>
      </c>
    </row>
    <row r="3" spans="1:7" x14ac:dyDescent="0.25">
      <c r="A3" s="13" t="s">
        <v>408</v>
      </c>
      <c r="C3" s="13" t="s">
        <v>406</v>
      </c>
      <c r="D3" s="13" t="s">
        <v>83</v>
      </c>
      <c r="E3" s="56">
        <v>70</v>
      </c>
      <c r="F3" s="56">
        <v>7.6</v>
      </c>
      <c r="G3" s="13" t="s">
        <v>179</v>
      </c>
    </row>
    <row r="4" spans="1:7" x14ac:dyDescent="0.25">
      <c r="A4" s="13" t="s">
        <v>407</v>
      </c>
      <c r="C4" s="13" t="s">
        <v>406</v>
      </c>
      <c r="D4" s="13" t="s">
        <v>85</v>
      </c>
      <c r="E4" s="56">
        <v>70</v>
      </c>
      <c r="F4" s="56">
        <v>7.6</v>
      </c>
      <c r="G4" s="13" t="s">
        <v>179</v>
      </c>
    </row>
    <row r="5" spans="1:7" x14ac:dyDescent="0.25">
      <c r="A5" s="13" t="s">
        <v>405</v>
      </c>
      <c r="C5" s="13" t="s">
        <v>404</v>
      </c>
      <c r="D5" s="13" t="s">
        <v>85</v>
      </c>
      <c r="E5" s="56">
        <v>70</v>
      </c>
      <c r="F5" s="56">
        <v>7.6</v>
      </c>
      <c r="G5" s="13" t="s">
        <v>179</v>
      </c>
    </row>
    <row r="6" spans="1:7" x14ac:dyDescent="0.25">
      <c r="A6" s="13" t="s">
        <v>403</v>
      </c>
      <c r="C6" s="13" t="s">
        <v>402</v>
      </c>
      <c r="D6" s="13" t="s">
        <v>89</v>
      </c>
      <c r="E6" s="56">
        <v>80</v>
      </c>
      <c r="F6" s="56">
        <v>7.6</v>
      </c>
      <c r="G6" s="13" t="s">
        <v>179</v>
      </c>
    </row>
    <row r="7" spans="1:7" x14ac:dyDescent="0.25">
      <c r="A7" s="13" t="s">
        <v>401</v>
      </c>
      <c r="C7" s="13" t="s">
        <v>400</v>
      </c>
      <c r="D7" s="13" t="s">
        <v>201</v>
      </c>
      <c r="E7" s="56">
        <v>70</v>
      </c>
      <c r="F7" s="56">
        <v>7.6</v>
      </c>
      <c r="G7" s="13" t="s">
        <v>179</v>
      </c>
    </row>
    <row r="8" spans="1:7" x14ac:dyDescent="0.25">
      <c r="A8" s="13" t="s">
        <v>399</v>
      </c>
      <c r="C8" s="13" t="s">
        <v>430</v>
      </c>
      <c r="D8" s="13" t="s">
        <v>83</v>
      </c>
      <c r="E8" s="13">
        <v>70</v>
      </c>
      <c r="F8" s="13">
        <v>7.6</v>
      </c>
      <c r="G8" s="13" t="s">
        <v>179</v>
      </c>
    </row>
    <row r="9" spans="1:7" x14ac:dyDescent="0.25">
      <c r="A9" s="13" t="s">
        <v>398</v>
      </c>
      <c r="C9" s="13" t="s">
        <v>397</v>
      </c>
      <c r="D9" s="13" t="s">
        <v>85</v>
      </c>
      <c r="E9" s="13">
        <v>70</v>
      </c>
      <c r="F9" s="13">
        <v>7.6</v>
      </c>
      <c r="G9" s="13" t="s">
        <v>179</v>
      </c>
    </row>
    <row r="10" spans="1:7" x14ac:dyDescent="0.25">
      <c r="A10" s="13" t="s">
        <v>396</v>
      </c>
      <c r="C10" s="13" t="s">
        <v>395</v>
      </c>
      <c r="D10" s="13" t="s">
        <v>83</v>
      </c>
      <c r="E10" s="56">
        <v>70</v>
      </c>
      <c r="F10" s="56">
        <v>7.6</v>
      </c>
      <c r="G10" s="13" t="s">
        <v>179</v>
      </c>
    </row>
    <row r="11" spans="1:7" x14ac:dyDescent="0.25">
      <c r="A11" s="13" t="s">
        <v>394</v>
      </c>
      <c r="C11" s="13" t="s">
        <v>393</v>
      </c>
      <c r="D11" s="13" t="s">
        <v>83</v>
      </c>
      <c r="E11" s="56">
        <v>70</v>
      </c>
      <c r="F11" s="56">
        <v>7.6</v>
      </c>
      <c r="G11" s="13" t="s">
        <v>179</v>
      </c>
    </row>
    <row r="12" spans="1:7" x14ac:dyDescent="0.25">
      <c r="A12" s="13" t="s">
        <v>392</v>
      </c>
      <c r="C12" s="13" t="s">
        <v>391</v>
      </c>
      <c r="D12" s="13" t="s">
        <v>83</v>
      </c>
      <c r="E12" s="13">
        <v>70</v>
      </c>
      <c r="F12" s="13">
        <v>7.6</v>
      </c>
      <c r="G12" s="13" t="s">
        <v>179</v>
      </c>
    </row>
    <row r="13" spans="1:7" x14ac:dyDescent="0.25">
      <c r="A13" s="13" t="s">
        <v>390</v>
      </c>
      <c r="C13" s="13" t="s">
        <v>431</v>
      </c>
      <c r="D13" s="13" t="s">
        <v>83</v>
      </c>
      <c r="E13" s="13">
        <v>70</v>
      </c>
      <c r="F13" s="13">
        <v>7.6</v>
      </c>
      <c r="G13" s="13" t="s">
        <v>179</v>
      </c>
    </row>
    <row r="14" spans="1:7" x14ac:dyDescent="0.25">
      <c r="A14" s="13" t="s">
        <v>432</v>
      </c>
      <c r="C14" s="13" t="s">
        <v>433</v>
      </c>
      <c r="D14" s="13" t="s">
        <v>87</v>
      </c>
      <c r="E14" s="13">
        <v>70</v>
      </c>
      <c r="F14" s="13">
        <v>7.6</v>
      </c>
      <c r="G14" s="13" t="s">
        <v>179</v>
      </c>
    </row>
    <row r="15" spans="1:7" x14ac:dyDescent="0.25">
      <c r="A15" s="13" t="s">
        <v>389</v>
      </c>
      <c r="C15" s="13" t="s">
        <v>388</v>
      </c>
      <c r="D15" s="13" t="s">
        <v>387</v>
      </c>
      <c r="E15" s="56">
        <v>100</v>
      </c>
      <c r="F15" s="56">
        <v>7.6</v>
      </c>
      <c r="G15" s="13" t="s">
        <v>179</v>
      </c>
    </row>
    <row r="16" spans="1:7" x14ac:dyDescent="0.25">
      <c r="A16" s="13" t="s">
        <v>386</v>
      </c>
      <c r="C16" s="13" t="s">
        <v>385</v>
      </c>
      <c r="D16" s="13" t="s">
        <v>89</v>
      </c>
      <c r="E16" s="56">
        <v>70</v>
      </c>
      <c r="F16" s="56">
        <v>7.6</v>
      </c>
      <c r="G16" s="13" t="s">
        <v>179</v>
      </c>
    </row>
    <row r="17" spans="1:7" x14ac:dyDescent="0.25">
      <c r="A17" s="13" t="s">
        <v>384</v>
      </c>
      <c r="C17" s="13" t="s">
        <v>383</v>
      </c>
      <c r="D17" s="13" t="s">
        <v>83</v>
      </c>
      <c r="E17" s="56">
        <v>70</v>
      </c>
      <c r="F17" s="56">
        <v>7.6</v>
      </c>
      <c r="G17" s="13" t="s">
        <v>179</v>
      </c>
    </row>
    <row r="18" spans="1:7" x14ac:dyDescent="0.25">
      <c r="A18" s="13" t="s">
        <v>382</v>
      </c>
      <c r="C18" s="13" t="s">
        <v>381</v>
      </c>
      <c r="D18" s="13" t="s">
        <v>83</v>
      </c>
      <c r="E18" s="13">
        <v>70</v>
      </c>
      <c r="F18" s="13">
        <v>7.6</v>
      </c>
      <c r="G18" s="13" t="s">
        <v>179</v>
      </c>
    </row>
    <row r="19" spans="1:7" x14ac:dyDescent="0.25">
      <c r="A19" s="13" t="s">
        <v>380</v>
      </c>
      <c r="C19" s="13" t="s">
        <v>434</v>
      </c>
      <c r="D19" s="13" t="s">
        <v>83</v>
      </c>
      <c r="E19" s="13">
        <v>70</v>
      </c>
      <c r="F19" s="13">
        <v>7.6</v>
      </c>
      <c r="G19" s="13" t="s">
        <v>179</v>
      </c>
    </row>
    <row r="20" spans="1:7" x14ac:dyDescent="0.25">
      <c r="A20" s="13" t="s">
        <v>379</v>
      </c>
      <c r="B20" s="13" t="s">
        <v>435</v>
      </c>
      <c r="D20" s="13" t="s">
        <v>83</v>
      </c>
      <c r="E20" s="13">
        <v>70</v>
      </c>
      <c r="F20" s="13">
        <v>7.6</v>
      </c>
      <c r="G20" s="13" t="s">
        <v>179</v>
      </c>
    </row>
    <row r="21" spans="1:7" x14ac:dyDescent="0.25">
      <c r="A21" s="13" t="s">
        <v>436</v>
      </c>
      <c r="C21" s="13" t="s">
        <v>378</v>
      </c>
      <c r="D21" s="13" t="s">
        <v>201</v>
      </c>
      <c r="E21" s="56">
        <v>70</v>
      </c>
      <c r="F21" s="56">
        <v>7.6</v>
      </c>
      <c r="G21" s="13" t="s">
        <v>179</v>
      </c>
    </row>
    <row r="22" spans="1:7" x14ac:dyDescent="0.25">
      <c r="A22" s="13" t="s">
        <v>377</v>
      </c>
      <c r="C22" s="13" t="s">
        <v>376</v>
      </c>
      <c r="D22" s="13" t="s">
        <v>83</v>
      </c>
      <c r="E22" s="56">
        <v>70</v>
      </c>
      <c r="F22" s="56">
        <v>7.6</v>
      </c>
      <c r="G22" s="13" t="s">
        <v>179</v>
      </c>
    </row>
    <row r="23" spans="1:7" x14ac:dyDescent="0.25">
      <c r="A23" s="13" t="s">
        <v>375</v>
      </c>
      <c r="C23" s="13" t="s">
        <v>437</v>
      </c>
      <c r="D23" s="13" t="s">
        <v>88</v>
      </c>
      <c r="E23" s="13">
        <v>100</v>
      </c>
      <c r="F23" s="13">
        <v>7.6</v>
      </c>
      <c r="G23" s="13" t="s">
        <v>179</v>
      </c>
    </row>
    <row r="24" spans="1:7" x14ac:dyDescent="0.25">
      <c r="A24" s="13" t="s">
        <v>374</v>
      </c>
      <c r="B24" s="13" t="s">
        <v>373</v>
      </c>
      <c r="D24" s="13" t="s">
        <v>85</v>
      </c>
      <c r="E24" s="56">
        <v>70</v>
      </c>
      <c r="F24" s="56">
        <v>7.6</v>
      </c>
      <c r="G24" s="13" t="s">
        <v>179</v>
      </c>
    </row>
    <row r="25" spans="1:7" x14ac:dyDescent="0.25">
      <c r="A25" s="13" t="s">
        <v>372</v>
      </c>
      <c r="C25" s="13" t="s">
        <v>371</v>
      </c>
      <c r="D25" s="13" t="s">
        <v>83</v>
      </c>
      <c r="E25" s="13">
        <v>70</v>
      </c>
      <c r="F25" s="13">
        <v>7.6</v>
      </c>
      <c r="G25" s="13" t="s">
        <v>179</v>
      </c>
    </row>
    <row r="26" spans="1:7" x14ac:dyDescent="0.25">
      <c r="A26" s="13" t="s">
        <v>370</v>
      </c>
      <c r="C26" s="13" t="s">
        <v>369</v>
      </c>
      <c r="D26" s="13" t="s">
        <v>83</v>
      </c>
      <c r="E26" s="56">
        <v>70</v>
      </c>
      <c r="F26" s="56">
        <v>7.6</v>
      </c>
      <c r="G26" s="13" t="s">
        <v>179</v>
      </c>
    </row>
    <row r="27" spans="1:7" x14ac:dyDescent="0.25">
      <c r="A27" s="13" t="s">
        <v>368</v>
      </c>
      <c r="C27" s="13" t="s">
        <v>367</v>
      </c>
      <c r="D27" s="13" t="s">
        <v>85</v>
      </c>
      <c r="E27" s="56">
        <v>70</v>
      </c>
      <c r="F27" s="56">
        <v>7.6</v>
      </c>
      <c r="G27" s="13" t="s">
        <v>179</v>
      </c>
    </row>
    <row r="28" spans="1:7" x14ac:dyDescent="0.25">
      <c r="A28" s="13" t="s">
        <v>366</v>
      </c>
      <c r="C28" s="13" t="s">
        <v>365</v>
      </c>
      <c r="D28" s="13" t="s">
        <v>301</v>
      </c>
      <c r="E28" s="56">
        <v>70</v>
      </c>
      <c r="F28" s="56">
        <v>7.6</v>
      </c>
      <c r="G28" s="13" t="s">
        <v>179</v>
      </c>
    </row>
    <row r="29" spans="1:7" x14ac:dyDescent="0.25">
      <c r="A29" s="13" t="s">
        <v>364</v>
      </c>
      <c r="C29" s="13" t="s">
        <v>363</v>
      </c>
      <c r="D29" s="13" t="s">
        <v>85</v>
      </c>
      <c r="E29" s="56">
        <v>70</v>
      </c>
      <c r="F29" s="56">
        <v>7.6</v>
      </c>
      <c r="G29" s="13" t="s">
        <v>179</v>
      </c>
    </row>
    <row r="30" spans="1:7" x14ac:dyDescent="0.25">
      <c r="A30" s="13" t="s">
        <v>362</v>
      </c>
      <c r="B30" s="13" t="s">
        <v>438</v>
      </c>
      <c r="C30" s="13" t="s">
        <v>439</v>
      </c>
      <c r="D30" s="13" t="s">
        <v>89</v>
      </c>
      <c r="E30" s="13">
        <v>100</v>
      </c>
      <c r="F30" s="13">
        <v>7.6</v>
      </c>
      <c r="G30" s="13" t="s">
        <v>179</v>
      </c>
    </row>
    <row r="31" spans="1:7" x14ac:dyDescent="0.25">
      <c r="A31" s="13" t="s">
        <v>361</v>
      </c>
      <c r="C31" s="13" t="s">
        <v>360</v>
      </c>
      <c r="D31" s="13" t="s">
        <v>85</v>
      </c>
      <c r="E31" s="13">
        <v>70</v>
      </c>
      <c r="F31" s="13">
        <v>7.6</v>
      </c>
      <c r="G31" s="13" t="s">
        <v>179</v>
      </c>
    </row>
    <row r="32" spans="1:7" x14ac:dyDescent="0.25">
      <c r="A32" s="13" t="s">
        <v>359</v>
      </c>
      <c r="B32" s="13" t="s">
        <v>358</v>
      </c>
      <c r="D32" s="13" t="s">
        <v>89</v>
      </c>
      <c r="E32" s="13">
        <v>100</v>
      </c>
      <c r="F32" s="13">
        <v>7.6</v>
      </c>
      <c r="G32" s="13" t="s">
        <v>179</v>
      </c>
    </row>
    <row r="33" spans="1:7" x14ac:dyDescent="0.25">
      <c r="A33" s="13" t="s">
        <v>357</v>
      </c>
      <c r="C33" s="13" t="s">
        <v>356</v>
      </c>
      <c r="D33" s="13" t="s">
        <v>81</v>
      </c>
      <c r="E33" s="56">
        <v>70</v>
      </c>
      <c r="F33" s="56">
        <v>7.6</v>
      </c>
      <c r="G33" s="13" t="s">
        <v>179</v>
      </c>
    </row>
    <row r="34" spans="1:7" x14ac:dyDescent="0.25">
      <c r="A34" s="13" t="s">
        <v>355</v>
      </c>
      <c r="C34" s="13" t="s">
        <v>354</v>
      </c>
      <c r="D34" s="13" t="s">
        <v>83</v>
      </c>
      <c r="E34" s="13">
        <v>70</v>
      </c>
      <c r="F34" s="13">
        <v>7.6</v>
      </c>
      <c r="G34" s="13" t="s">
        <v>179</v>
      </c>
    </row>
    <row r="35" spans="1:7" x14ac:dyDescent="0.25">
      <c r="A35" s="13" t="s">
        <v>353</v>
      </c>
      <c r="C35" s="13" t="s">
        <v>352</v>
      </c>
      <c r="D35" s="13" t="s">
        <v>83</v>
      </c>
      <c r="E35" s="13">
        <v>70</v>
      </c>
      <c r="F35" s="13">
        <v>7.6</v>
      </c>
      <c r="G35" s="13" t="s">
        <v>179</v>
      </c>
    </row>
    <row r="36" spans="1:7" x14ac:dyDescent="0.25">
      <c r="A36" s="13" t="s">
        <v>351</v>
      </c>
      <c r="C36" s="13" t="s">
        <v>350</v>
      </c>
      <c r="D36" s="13" t="s">
        <v>89</v>
      </c>
      <c r="E36" s="56">
        <v>70</v>
      </c>
      <c r="F36" s="56">
        <v>7.6</v>
      </c>
      <c r="G36" s="13" t="s">
        <v>179</v>
      </c>
    </row>
    <row r="37" spans="1:7" x14ac:dyDescent="0.25">
      <c r="A37" s="13" t="s">
        <v>349</v>
      </c>
      <c r="C37" s="13" t="s">
        <v>348</v>
      </c>
      <c r="D37" s="13" t="s">
        <v>201</v>
      </c>
      <c r="E37" s="56">
        <v>70</v>
      </c>
      <c r="F37" s="56">
        <v>7.6</v>
      </c>
      <c r="G37" s="13" t="s">
        <v>179</v>
      </c>
    </row>
    <row r="38" spans="1:7" x14ac:dyDescent="0.25">
      <c r="A38" s="13" t="s">
        <v>440</v>
      </c>
      <c r="C38" s="13" t="s">
        <v>347</v>
      </c>
      <c r="D38" s="13" t="s">
        <v>441</v>
      </c>
      <c r="E38" s="13">
        <v>70</v>
      </c>
      <c r="F38" s="13">
        <v>7.6</v>
      </c>
      <c r="G38" s="13" t="s">
        <v>179</v>
      </c>
    </row>
    <row r="39" spans="1:7" x14ac:dyDescent="0.25">
      <c r="A39" s="13" t="s">
        <v>346</v>
      </c>
      <c r="C39" s="13" t="s">
        <v>442</v>
      </c>
      <c r="D39" s="13" t="s">
        <v>81</v>
      </c>
      <c r="E39" s="13">
        <v>70</v>
      </c>
      <c r="F39" s="13">
        <v>7.6</v>
      </c>
      <c r="G39" s="13" t="s">
        <v>179</v>
      </c>
    </row>
    <row r="40" spans="1:7" x14ac:dyDescent="0.25">
      <c r="A40" s="13" t="s">
        <v>345</v>
      </c>
      <c r="C40" s="13" t="s">
        <v>344</v>
      </c>
      <c r="D40" s="13" t="s">
        <v>89</v>
      </c>
      <c r="E40" s="56">
        <v>100</v>
      </c>
      <c r="F40" s="56">
        <v>7.6</v>
      </c>
      <c r="G40" s="13" t="s">
        <v>179</v>
      </c>
    </row>
    <row r="41" spans="1:7" x14ac:dyDescent="0.25">
      <c r="A41" s="13" t="s">
        <v>343</v>
      </c>
      <c r="C41" s="13" t="s">
        <v>342</v>
      </c>
      <c r="D41" s="13" t="s">
        <v>85</v>
      </c>
      <c r="E41" s="56">
        <v>70</v>
      </c>
      <c r="F41" s="56">
        <v>7.6</v>
      </c>
      <c r="G41" s="13" t="s">
        <v>179</v>
      </c>
    </row>
    <row r="42" spans="1:7" x14ac:dyDescent="0.25">
      <c r="A42" s="13" t="s">
        <v>341</v>
      </c>
      <c r="C42" s="13" t="s">
        <v>340</v>
      </c>
      <c r="D42" s="13" t="s">
        <v>85</v>
      </c>
      <c r="E42" s="13">
        <v>70</v>
      </c>
      <c r="F42" s="13">
        <v>7.6</v>
      </c>
      <c r="G42" s="13" t="s">
        <v>179</v>
      </c>
    </row>
    <row r="43" spans="1:7" x14ac:dyDescent="0.25">
      <c r="A43" s="13" t="s">
        <v>443</v>
      </c>
      <c r="C43" s="13" t="s">
        <v>444</v>
      </c>
      <c r="D43" s="13" t="s">
        <v>445</v>
      </c>
      <c r="E43" s="56">
        <v>70</v>
      </c>
      <c r="F43" s="56">
        <v>7.6</v>
      </c>
      <c r="G43" s="13" t="s">
        <v>179</v>
      </c>
    </row>
    <row r="44" spans="1:7" x14ac:dyDescent="0.25">
      <c r="A44" s="13" t="s">
        <v>339</v>
      </c>
      <c r="C44" s="13" t="s">
        <v>338</v>
      </c>
      <c r="D44" s="13" t="s">
        <v>85</v>
      </c>
      <c r="E44" s="56">
        <v>70</v>
      </c>
      <c r="F44" s="56">
        <v>7.6</v>
      </c>
      <c r="G44" s="13" t="s">
        <v>179</v>
      </c>
    </row>
    <row r="45" spans="1:7" x14ac:dyDescent="0.25">
      <c r="A45" s="13" t="s">
        <v>337</v>
      </c>
      <c r="C45" s="13" t="s">
        <v>336</v>
      </c>
      <c r="D45" s="13" t="s">
        <v>248</v>
      </c>
      <c r="E45" s="13">
        <v>70</v>
      </c>
      <c r="F45" s="13">
        <v>7.6</v>
      </c>
      <c r="G45" s="13" t="s">
        <v>179</v>
      </c>
    </row>
    <row r="46" spans="1:7" x14ac:dyDescent="0.25">
      <c r="A46" s="13" t="s">
        <v>335</v>
      </c>
      <c r="C46" s="13" t="s">
        <v>334</v>
      </c>
      <c r="D46" s="13" t="s">
        <v>83</v>
      </c>
      <c r="E46" s="13">
        <v>70</v>
      </c>
      <c r="F46" s="13">
        <v>7.6</v>
      </c>
      <c r="G46" s="13" t="s">
        <v>179</v>
      </c>
    </row>
    <row r="47" spans="1:7" x14ac:dyDescent="0.25">
      <c r="A47" s="13" t="s">
        <v>333</v>
      </c>
      <c r="C47" s="13" t="s">
        <v>332</v>
      </c>
      <c r="D47" s="13" t="s">
        <v>331</v>
      </c>
      <c r="E47" s="56">
        <v>70</v>
      </c>
      <c r="F47" s="56">
        <v>7.6</v>
      </c>
      <c r="G47" s="13" t="s">
        <v>179</v>
      </c>
    </row>
    <row r="48" spans="1:7" x14ac:dyDescent="0.25">
      <c r="A48" s="13" t="s">
        <v>330</v>
      </c>
      <c r="C48" s="13" t="s">
        <v>329</v>
      </c>
      <c r="D48" s="13" t="s">
        <v>201</v>
      </c>
      <c r="E48" s="56">
        <v>70</v>
      </c>
      <c r="F48" s="56">
        <v>7.6</v>
      </c>
      <c r="G48" s="13" t="s">
        <v>179</v>
      </c>
    </row>
    <row r="49" spans="1:7" x14ac:dyDescent="0.25">
      <c r="A49" s="13" t="s">
        <v>328</v>
      </c>
      <c r="C49" s="13" t="s">
        <v>327</v>
      </c>
      <c r="D49" s="13" t="s">
        <v>83</v>
      </c>
      <c r="E49" s="56">
        <v>70</v>
      </c>
      <c r="F49" s="56">
        <v>7.6</v>
      </c>
      <c r="G49" s="13" t="s">
        <v>179</v>
      </c>
    </row>
    <row r="50" spans="1:7" x14ac:dyDescent="0.25">
      <c r="A50" s="13" t="s">
        <v>326</v>
      </c>
      <c r="C50" s="13" t="s">
        <v>325</v>
      </c>
      <c r="D50" s="13" t="s">
        <v>83</v>
      </c>
      <c r="E50" s="56">
        <v>70</v>
      </c>
      <c r="F50" s="56">
        <v>7.6</v>
      </c>
      <c r="G50" s="13" t="s">
        <v>179</v>
      </c>
    </row>
    <row r="51" spans="1:7" x14ac:dyDescent="0.25">
      <c r="A51" s="13" t="s">
        <v>324</v>
      </c>
      <c r="C51" s="13" t="s">
        <v>323</v>
      </c>
      <c r="D51" s="13" t="s">
        <v>81</v>
      </c>
      <c r="E51" s="13">
        <v>70</v>
      </c>
      <c r="F51" s="13">
        <v>7.6</v>
      </c>
      <c r="G51" s="13" t="s">
        <v>179</v>
      </c>
    </row>
    <row r="52" spans="1:7" x14ac:dyDescent="0.25">
      <c r="A52" s="13" t="s">
        <v>322</v>
      </c>
      <c r="C52" s="13" t="s">
        <v>321</v>
      </c>
      <c r="D52" s="13" t="s">
        <v>320</v>
      </c>
      <c r="E52" s="56">
        <v>70</v>
      </c>
      <c r="F52" s="56">
        <v>7.6</v>
      </c>
      <c r="G52" s="13" t="s">
        <v>179</v>
      </c>
    </row>
    <row r="53" spans="1:7" x14ac:dyDescent="0.25">
      <c r="A53" s="13" t="s">
        <v>319</v>
      </c>
      <c r="C53" s="13" t="s">
        <v>318</v>
      </c>
      <c r="D53" s="13" t="s">
        <v>81</v>
      </c>
      <c r="E53" s="13">
        <v>70</v>
      </c>
      <c r="F53" s="13">
        <v>7.6</v>
      </c>
      <c r="G53" s="13" t="s">
        <v>179</v>
      </c>
    </row>
    <row r="54" spans="1:7" x14ac:dyDescent="0.25">
      <c r="A54" s="13" t="s">
        <v>317</v>
      </c>
      <c r="C54" s="13" t="s">
        <v>316</v>
      </c>
      <c r="D54" s="13" t="s">
        <v>83</v>
      </c>
      <c r="E54" s="13">
        <v>70</v>
      </c>
      <c r="F54" s="13">
        <v>7.6</v>
      </c>
      <c r="G54" s="13" t="s">
        <v>179</v>
      </c>
    </row>
    <row r="55" spans="1:7" x14ac:dyDescent="0.25">
      <c r="A55" s="13" t="s">
        <v>315</v>
      </c>
      <c r="D55" s="13" t="s">
        <v>83</v>
      </c>
      <c r="E55" s="13">
        <v>70</v>
      </c>
      <c r="F55" s="13">
        <v>7.6</v>
      </c>
      <c r="G55" s="13" t="s">
        <v>179</v>
      </c>
    </row>
    <row r="56" spans="1:7" x14ac:dyDescent="0.25">
      <c r="A56" s="13" t="s">
        <v>314</v>
      </c>
      <c r="C56" s="13" t="s">
        <v>313</v>
      </c>
      <c r="D56" s="13" t="s">
        <v>83</v>
      </c>
      <c r="E56" s="56">
        <v>70</v>
      </c>
      <c r="F56" s="56">
        <v>7.6</v>
      </c>
      <c r="G56" s="13" t="s">
        <v>179</v>
      </c>
    </row>
    <row r="57" spans="1:7" x14ac:dyDescent="0.25">
      <c r="A57" s="13" t="s">
        <v>312</v>
      </c>
      <c r="C57" s="13" t="s">
        <v>311</v>
      </c>
      <c r="D57" s="13" t="s">
        <v>310</v>
      </c>
      <c r="E57" s="56">
        <v>80</v>
      </c>
      <c r="F57" s="56">
        <v>7.6</v>
      </c>
      <c r="G57" s="13" t="s">
        <v>179</v>
      </c>
    </row>
    <row r="58" spans="1:7" x14ac:dyDescent="0.25">
      <c r="A58" s="13" t="s">
        <v>309</v>
      </c>
      <c r="C58" s="13" t="s">
        <v>308</v>
      </c>
      <c r="D58" s="13" t="s">
        <v>279</v>
      </c>
      <c r="F58" s="13">
        <v>7.6</v>
      </c>
      <c r="G58" s="13" t="s">
        <v>179</v>
      </c>
    </row>
    <row r="59" spans="1:7" x14ac:dyDescent="0.25">
      <c r="A59" s="13" t="s">
        <v>307</v>
      </c>
      <c r="C59" s="13" t="s">
        <v>306</v>
      </c>
      <c r="D59" s="13" t="s">
        <v>83</v>
      </c>
      <c r="E59" s="13">
        <v>70</v>
      </c>
      <c r="F59" s="13">
        <v>7.6</v>
      </c>
      <c r="G59" s="13" t="s">
        <v>179</v>
      </c>
    </row>
    <row r="60" spans="1:7" x14ac:dyDescent="0.25">
      <c r="A60" s="13" t="s">
        <v>305</v>
      </c>
      <c r="C60" s="13" t="s">
        <v>304</v>
      </c>
      <c r="D60" s="13" t="s">
        <v>81</v>
      </c>
      <c r="E60" s="13">
        <v>70</v>
      </c>
      <c r="F60" s="13">
        <v>7.6</v>
      </c>
      <c r="G60" s="13" t="s">
        <v>84</v>
      </c>
    </row>
    <row r="61" spans="1:7" x14ac:dyDescent="0.25">
      <c r="A61" s="13" t="s">
        <v>303</v>
      </c>
      <c r="C61" s="13" t="s">
        <v>302</v>
      </c>
      <c r="D61" s="13" t="s">
        <v>301</v>
      </c>
      <c r="E61" s="56">
        <v>70</v>
      </c>
      <c r="F61" s="56">
        <v>7.6</v>
      </c>
      <c r="G61" s="13" t="s">
        <v>179</v>
      </c>
    </row>
    <row r="62" spans="1:7" x14ac:dyDescent="0.25">
      <c r="A62" s="13" t="s">
        <v>300</v>
      </c>
      <c r="C62" s="13" t="s">
        <v>299</v>
      </c>
      <c r="D62" s="13" t="s">
        <v>85</v>
      </c>
      <c r="E62" s="56">
        <v>70</v>
      </c>
      <c r="F62" s="56">
        <v>7.6</v>
      </c>
      <c r="G62" s="13" t="s">
        <v>179</v>
      </c>
    </row>
    <row r="63" spans="1:7" x14ac:dyDescent="0.25">
      <c r="A63" s="13" t="s">
        <v>298</v>
      </c>
      <c r="C63" s="13" t="s">
        <v>297</v>
      </c>
      <c r="D63" s="13" t="s">
        <v>81</v>
      </c>
      <c r="E63" s="13">
        <v>70</v>
      </c>
      <c r="F63" s="13">
        <v>7.6</v>
      </c>
      <c r="G63" s="13" t="s">
        <v>179</v>
      </c>
    </row>
    <row r="64" spans="1:7" x14ac:dyDescent="0.25">
      <c r="A64" s="13" t="s">
        <v>296</v>
      </c>
      <c r="C64" s="13" t="s">
        <v>295</v>
      </c>
      <c r="D64" s="13" t="s">
        <v>83</v>
      </c>
      <c r="E64" s="13">
        <v>70</v>
      </c>
      <c r="F64" s="13">
        <v>7.6</v>
      </c>
      <c r="G64" s="13" t="s">
        <v>179</v>
      </c>
    </row>
    <row r="65" spans="1:7" x14ac:dyDescent="0.25">
      <c r="A65" s="13" t="s">
        <v>294</v>
      </c>
      <c r="C65" s="13" t="s">
        <v>293</v>
      </c>
      <c r="D65" s="13" t="s">
        <v>88</v>
      </c>
      <c r="E65" s="56">
        <v>70</v>
      </c>
      <c r="F65" s="56">
        <v>7.6</v>
      </c>
      <c r="G65" s="13" t="s">
        <v>179</v>
      </c>
    </row>
    <row r="66" spans="1:7" x14ac:dyDescent="0.25">
      <c r="A66" s="13" t="s">
        <v>292</v>
      </c>
      <c r="C66" s="13" t="s">
        <v>291</v>
      </c>
      <c r="D66" s="13" t="s">
        <v>83</v>
      </c>
      <c r="E66" s="13">
        <v>70</v>
      </c>
      <c r="F66" s="13">
        <v>7.6</v>
      </c>
      <c r="G66" s="13" t="s">
        <v>179</v>
      </c>
    </row>
    <row r="67" spans="1:7" x14ac:dyDescent="0.25">
      <c r="A67" s="13" t="s">
        <v>290</v>
      </c>
      <c r="C67" s="13" t="s">
        <v>289</v>
      </c>
      <c r="D67" s="13" t="s">
        <v>83</v>
      </c>
      <c r="E67" s="56">
        <v>70</v>
      </c>
      <c r="F67" s="56">
        <v>7.6</v>
      </c>
      <c r="G67" s="13" t="s">
        <v>179</v>
      </c>
    </row>
    <row r="68" spans="1:7" x14ac:dyDescent="0.25">
      <c r="A68" s="13" t="s">
        <v>288</v>
      </c>
      <c r="C68" s="13" t="s">
        <v>287</v>
      </c>
      <c r="D68" s="13" t="s">
        <v>87</v>
      </c>
      <c r="E68" s="56">
        <v>70</v>
      </c>
      <c r="F68" s="56">
        <v>7.6</v>
      </c>
      <c r="G68" s="13" t="s">
        <v>179</v>
      </c>
    </row>
    <row r="69" spans="1:7" x14ac:dyDescent="0.25">
      <c r="A69" s="13" t="s">
        <v>286</v>
      </c>
      <c r="C69" s="13" t="s">
        <v>285</v>
      </c>
      <c r="D69" s="13" t="s">
        <v>86</v>
      </c>
      <c r="E69" s="13">
        <v>70</v>
      </c>
      <c r="F69" s="13">
        <v>7.6</v>
      </c>
      <c r="G69" s="13" t="s">
        <v>179</v>
      </c>
    </row>
    <row r="70" spans="1:7" x14ac:dyDescent="0.25">
      <c r="A70" s="13" t="s">
        <v>284</v>
      </c>
      <c r="C70" s="13" t="s">
        <v>283</v>
      </c>
      <c r="D70" s="13" t="s">
        <v>282</v>
      </c>
      <c r="E70" s="56">
        <v>100</v>
      </c>
      <c r="F70" s="56">
        <v>7.6</v>
      </c>
      <c r="G70" s="13" t="s">
        <v>179</v>
      </c>
    </row>
    <row r="71" spans="1:7" x14ac:dyDescent="0.25">
      <c r="A71" s="13" t="s">
        <v>281</v>
      </c>
      <c r="B71" s="13" t="s">
        <v>280</v>
      </c>
      <c r="D71" s="13" t="s">
        <v>83</v>
      </c>
      <c r="E71" s="56">
        <v>70</v>
      </c>
      <c r="F71" s="56">
        <v>7.6</v>
      </c>
      <c r="G71" s="13" t="s">
        <v>179</v>
      </c>
    </row>
    <row r="72" spans="1:7" x14ac:dyDescent="0.25">
      <c r="A72" s="13" t="s">
        <v>278</v>
      </c>
      <c r="C72" s="13" t="s">
        <v>277</v>
      </c>
      <c r="D72" s="13" t="s">
        <v>83</v>
      </c>
      <c r="E72" s="13">
        <v>70</v>
      </c>
      <c r="F72" s="13">
        <v>7.6</v>
      </c>
      <c r="G72" s="13" t="s">
        <v>179</v>
      </c>
    </row>
    <row r="73" spans="1:7" x14ac:dyDescent="0.25">
      <c r="A73" s="13" t="s">
        <v>276</v>
      </c>
      <c r="C73" s="13" t="s">
        <v>275</v>
      </c>
      <c r="D73" s="13" t="s">
        <v>251</v>
      </c>
      <c r="E73" s="13">
        <v>70</v>
      </c>
      <c r="F73" s="13">
        <v>7.6</v>
      </c>
      <c r="G73" s="13" t="s">
        <v>179</v>
      </c>
    </row>
    <row r="74" spans="1:7" x14ac:dyDescent="0.25">
      <c r="A74" s="13" t="s">
        <v>274</v>
      </c>
      <c r="C74" s="13" t="s">
        <v>273</v>
      </c>
      <c r="D74" s="13" t="s">
        <v>201</v>
      </c>
      <c r="E74" s="56">
        <v>70</v>
      </c>
      <c r="F74" s="56">
        <v>7.6</v>
      </c>
      <c r="G74" s="13" t="s">
        <v>179</v>
      </c>
    </row>
    <row r="75" spans="1:7" x14ac:dyDescent="0.25">
      <c r="A75" s="13" t="s">
        <v>272</v>
      </c>
      <c r="C75" s="13" t="s">
        <v>271</v>
      </c>
      <c r="D75" s="13" t="s">
        <v>83</v>
      </c>
      <c r="E75" s="13">
        <v>70</v>
      </c>
      <c r="F75" s="13">
        <v>7.6</v>
      </c>
      <c r="G75" s="13" t="s">
        <v>179</v>
      </c>
    </row>
    <row r="76" spans="1:7" x14ac:dyDescent="0.25">
      <c r="A76" s="13" t="s">
        <v>270</v>
      </c>
      <c r="C76" s="13" t="s">
        <v>446</v>
      </c>
      <c r="D76" s="13" t="s">
        <v>83</v>
      </c>
      <c r="E76" s="56">
        <v>70</v>
      </c>
      <c r="F76" s="56">
        <v>7.6</v>
      </c>
      <c r="G76" s="13" t="s">
        <v>179</v>
      </c>
    </row>
    <row r="77" spans="1:7" x14ac:dyDescent="0.25">
      <c r="A77" s="13" t="s">
        <v>269</v>
      </c>
      <c r="C77" s="13" t="s">
        <v>268</v>
      </c>
      <c r="D77" s="13" t="s">
        <v>201</v>
      </c>
      <c r="E77" s="56">
        <v>70</v>
      </c>
      <c r="F77" s="56">
        <v>7.6</v>
      </c>
      <c r="G77" s="13" t="s">
        <v>179</v>
      </c>
    </row>
    <row r="78" spans="1:7" x14ac:dyDescent="0.25">
      <c r="A78" s="13" t="s">
        <v>267</v>
      </c>
      <c r="C78" s="13" t="s">
        <v>266</v>
      </c>
      <c r="D78" s="13" t="s">
        <v>83</v>
      </c>
      <c r="E78" s="56">
        <v>70</v>
      </c>
      <c r="F78" s="56">
        <v>7.6</v>
      </c>
      <c r="G78" s="13" t="s">
        <v>179</v>
      </c>
    </row>
    <row r="79" spans="1:7" x14ac:dyDescent="0.25">
      <c r="A79" s="13" t="s">
        <v>265</v>
      </c>
      <c r="C79" s="13" t="s">
        <v>264</v>
      </c>
      <c r="D79" s="13" t="s">
        <v>201</v>
      </c>
      <c r="E79" s="56">
        <v>70</v>
      </c>
      <c r="F79" s="56">
        <v>7.6</v>
      </c>
      <c r="G79" s="13" t="s">
        <v>179</v>
      </c>
    </row>
    <row r="80" spans="1:7" x14ac:dyDescent="0.25">
      <c r="A80" s="13" t="s">
        <v>263</v>
      </c>
      <c r="B80" s="13" t="s">
        <v>447</v>
      </c>
      <c r="C80" s="13" t="s">
        <v>448</v>
      </c>
      <c r="D80" s="13" t="s">
        <v>201</v>
      </c>
      <c r="E80" s="56">
        <v>70</v>
      </c>
      <c r="F80" s="56">
        <v>7.6</v>
      </c>
      <c r="G80" s="13" t="s">
        <v>179</v>
      </c>
    </row>
    <row r="81" spans="1:7" x14ac:dyDescent="0.25">
      <c r="A81" s="13" t="s">
        <v>262</v>
      </c>
      <c r="C81" s="13" t="s">
        <v>261</v>
      </c>
      <c r="D81" s="13" t="s">
        <v>201</v>
      </c>
      <c r="E81" s="56">
        <v>70</v>
      </c>
      <c r="F81" s="56">
        <v>7.6</v>
      </c>
      <c r="G81" s="13" t="s">
        <v>179</v>
      </c>
    </row>
    <row r="82" spans="1:7" x14ac:dyDescent="0.25">
      <c r="A82" s="13" t="s">
        <v>260</v>
      </c>
      <c r="C82" s="13" t="s">
        <v>259</v>
      </c>
      <c r="D82" s="13" t="s">
        <v>85</v>
      </c>
      <c r="E82" s="56">
        <v>70</v>
      </c>
      <c r="F82" s="56">
        <v>7.6</v>
      </c>
      <c r="G82" s="13" t="s">
        <v>179</v>
      </c>
    </row>
    <row r="83" spans="1:7" x14ac:dyDescent="0.25">
      <c r="A83" s="13" t="s">
        <v>449</v>
      </c>
      <c r="C83" s="13" t="s">
        <v>254</v>
      </c>
      <c r="D83" s="13" t="s">
        <v>81</v>
      </c>
      <c r="E83" s="13">
        <v>70</v>
      </c>
      <c r="F83" s="13">
        <v>7.6</v>
      </c>
      <c r="G83" s="13" t="s">
        <v>179</v>
      </c>
    </row>
    <row r="84" spans="1:7" x14ac:dyDescent="0.25">
      <c r="A84" s="13" t="s">
        <v>258</v>
      </c>
      <c r="C84" s="13" t="s">
        <v>257</v>
      </c>
      <c r="D84" s="13" t="s">
        <v>85</v>
      </c>
      <c r="E84" s="56">
        <v>70</v>
      </c>
      <c r="F84" s="56">
        <v>7.6</v>
      </c>
      <c r="G84" s="13" t="s">
        <v>179</v>
      </c>
    </row>
    <row r="85" spans="1:7" x14ac:dyDescent="0.25">
      <c r="A85" s="13" t="s">
        <v>256</v>
      </c>
      <c r="C85" s="13" t="s">
        <v>255</v>
      </c>
      <c r="D85" s="13" t="s">
        <v>201</v>
      </c>
      <c r="E85" s="56">
        <v>70</v>
      </c>
      <c r="F85" s="56">
        <v>7.6</v>
      </c>
      <c r="G85" s="13" t="s">
        <v>179</v>
      </c>
    </row>
    <row r="86" spans="1:7" x14ac:dyDescent="0.25">
      <c r="A86" s="13" t="s">
        <v>253</v>
      </c>
      <c r="C86" s="13" t="s">
        <v>252</v>
      </c>
      <c r="D86" s="13" t="s">
        <v>251</v>
      </c>
      <c r="E86" s="13">
        <v>70</v>
      </c>
      <c r="F86" s="13">
        <v>7.6</v>
      </c>
      <c r="G86" s="13" t="s">
        <v>179</v>
      </c>
    </row>
    <row r="87" spans="1:7" x14ac:dyDescent="0.25">
      <c r="A87" s="13" t="s">
        <v>250</v>
      </c>
      <c r="C87" s="13" t="s">
        <v>249</v>
      </c>
      <c r="D87" s="13" t="s">
        <v>81</v>
      </c>
      <c r="E87" s="13">
        <v>70</v>
      </c>
      <c r="F87" s="13">
        <v>7.6</v>
      </c>
      <c r="G87" s="13" t="s">
        <v>179</v>
      </c>
    </row>
    <row r="88" spans="1:7" x14ac:dyDescent="0.25">
      <c r="A88" s="13" t="s">
        <v>247</v>
      </c>
      <c r="C88" s="13" t="s">
        <v>246</v>
      </c>
      <c r="D88" s="13" t="s">
        <v>245</v>
      </c>
      <c r="E88" s="56">
        <v>70</v>
      </c>
      <c r="F88" s="56">
        <v>7.6</v>
      </c>
      <c r="G88" s="13" t="s">
        <v>179</v>
      </c>
    </row>
    <row r="89" spans="1:7" x14ac:dyDescent="0.25">
      <c r="A89" s="13" t="s">
        <v>244</v>
      </c>
      <c r="B89" s="13" t="s">
        <v>450</v>
      </c>
      <c r="C89" s="13" t="s">
        <v>451</v>
      </c>
      <c r="D89" s="13" t="s">
        <v>85</v>
      </c>
      <c r="E89" s="56">
        <v>70</v>
      </c>
      <c r="F89" s="56">
        <v>7.6</v>
      </c>
      <c r="G89" s="13" t="s">
        <v>179</v>
      </c>
    </row>
    <row r="90" spans="1:7" x14ac:dyDescent="0.25">
      <c r="A90" s="13" t="s">
        <v>243</v>
      </c>
      <c r="C90" s="13" t="s">
        <v>242</v>
      </c>
      <c r="D90" s="13" t="s">
        <v>201</v>
      </c>
      <c r="E90" s="56">
        <v>70</v>
      </c>
      <c r="F90" s="56">
        <v>7.6</v>
      </c>
      <c r="G90" s="13" t="s">
        <v>179</v>
      </c>
    </row>
    <row r="91" spans="1:7" x14ac:dyDescent="0.25">
      <c r="A91" s="13" t="s">
        <v>241</v>
      </c>
      <c r="C91" s="13" t="s">
        <v>240</v>
      </c>
      <c r="D91" s="13" t="s">
        <v>88</v>
      </c>
      <c r="E91" s="56">
        <v>100</v>
      </c>
      <c r="F91" s="56">
        <v>7.6</v>
      </c>
      <c r="G91" s="13" t="s">
        <v>452</v>
      </c>
    </row>
    <row r="92" spans="1:7" x14ac:dyDescent="0.25">
      <c r="A92" s="13" t="s">
        <v>239</v>
      </c>
      <c r="C92" s="13" t="s">
        <v>238</v>
      </c>
      <c r="E92" s="13">
        <v>70</v>
      </c>
      <c r="F92" s="13">
        <v>7.6</v>
      </c>
      <c r="G92" s="13" t="s">
        <v>179</v>
      </c>
    </row>
    <row r="93" spans="1:7" x14ac:dyDescent="0.25">
      <c r="A93" s="13" t="s">
        <v>237</v>
      </c>
      <c r="C93" s="13" t="s">
        <v>236</v>
      </c>
      <c r="D93" s="13" t="s">
        <v>81</v>
      </c>
      <c r="E93" s="13">
        <v>70</v>
      </c>
      <c r="F93" s="13">
        <v>7.6</v>
      </c>
      <c r="G93" s="13" t="s">
        <v>179</v>
      </c>
    </row>
    <row r="94" spans="1:7" x14ac:dyDescent="0.25">
      <c r="A94" s="13" t="s">
        <v>235</v>
      </c>
      <c r="C94" s="13" t="s">
        <v>234</v>
      </c>
      <c r="D94" s="13" t="s">
        <v>87</v>
      </c>
      <c r="E94" s="13">
        <v>70</v>
      </c>
      <c r="F94" s="13">
        <v>7.6</v>
      </c>
      <c r="G94" s="13" t="s">
        <v>233</v>
      </c>
    </row>
    <row r="95" spans="1:7" x14ac:dyDescent="0.25">
      <c r="A95" s="13" t="s">
        <v>232</v>
      </c>
      <c r="C95" s="13" t="s">
        <v>231</v>
      </c>
      <c r="D95" s="13" t="s">
        <v>81</v>
      </c>
      <c r="E95" s="13">
        <v>100</v>
      </c>
      <c r="F95" s="13">
        <v>7.6</v>
      </c>
      <c r="G95" s="13" t="s">
        <v>179</v>
      </c>
    </row>
    <row r="96" spans="1:7" x14ac:dyDescent="0.25">
      <c r="A96" s="13" t="s">
        <v>230</v>
      </c>
      <c r="C96" s="13" t="s">
        <v>229</v>
      </c>
      <c r="D96" s="13" t="s">
        <v>201</v>
      </c>
      <c r="E96" s="56">
        <v>70</v>
      </c>
      <c r="F96" s="56">
        <v>7.6</v>
      </c>
      <c r="G96" s="13" t="s">
        <v>179</v>
      </c>
    </row>
    <row r="97" spans="1:7" x14ac:dyDescent="0.25">
      <c r="A97" s="13" t="s">
        <v>228</v>
      </c>
      <c r="C97" s="13" t="s">
        <v>227</v>
      </c>
      <c r="D97" s="13" t="s">
        <v>83</v>
      </c>
      <c r="E97" s="56">
        <v>70</v>
      </c>
      <c r="F97" s="56">
        <v>7.6</v>
      </c>
      <c r="G97" s="13" t="s">
        <v>179</v>
      </c>
    </row>
    <row r="98" spans="1:7" x14ac:dyDescent="0.25">
      <c r="A98" s="13" t="s">
        <v>226</v>
      </c>
      <c r="B98" s="13" t="s">
        <v>453</v>
      </c>
      <c r="C98" s="13" t="s">
        <v>454</v>
      </c>
      <c r="D98" s="13" t="s">
        <v>83</v>
      </c>
      <c r="E98" s="56">
        <v>70</v>
      </c>
      <c r="F98" s="56">
        <v>7.6</v>
      </c>
      <c r="G98" s="13" t="s">
        <v>179</v>
      </c>
    </row>
    <row r="99" spans="1:7" x14ac:dyDescent="0.25">
      <c r="A99" s="13" t="s">
        <v>225</v>
      </c>
      <c r="C99" s="13" t="s">
        <v>224</v>
      </c>
      <c r="D99" s="13" t="s">
        <v>201</v>
      </c>
      <c r="E99" s="56">
        <v>70</v>
      </c>
      <c r="F99" s="56">
        <v>7.6</v>
      </c>
      <c r="G99" s="13" t="s">
        <v>179</v>
      </c>
    </row>
    <row r="100" spans="1:7" x14ac:dyDescent="0.25">
      <c r="A100" s="13" t="s">
        <v>223</v>
      </c>
      <c r="C100" s="13" t="s">
        <v>222</v>
      </c>
      <c r="D100" s="13" t="s">
        <v>85</v>
      </c>
      <c r="E100" s="56">
        <v>70</v>
      </c>
      <c r="F100" s="56">
        <v>7.6</v>
      </c>
      <c r="G100" s="13" t="s">
        <v>179</v>
      </c>
    </row>
    <row r="101" spans="1:7" x14ac:dyDescent="0.25">
      <c r="A101" s="13" t="s">
        <v>221</v>
      </c>
      <c r="C101" s="13" t="s">
        <v>220</v>
      </c>
      <c r="D101" s="13" t="s">
        <v>83</v>
      </c>
      <c r="E101" s="56">
        <v>70</v>
      </c>
      <c r="F101" s="56">
        <v>7.6</v>
      </c>
      <c r="G101" s="13" t="s">
        <v>179</v>
      </c>
    </row>
    <row r="102" spans="1:7" x14ac:dyDescent="0.25">
      <c r="A102" s="13" t="s">
        <v>219</v>
      </c>
      <c r="C102" s="13" t="s">
        <v>218</v>
      </c>
      <c r="D102" s="13" t="s">
        <v>201</v>
      </c>
      <c r="E102" s="56">
        <v>70</v>
      </c>
      <c r="F102" s="56">
        <v>7.6</v>
      </c>
      <c r="G102" s="13" t="s">
        <v>179</v>
      </c>
    </row>
    <row r="103" spans="1:7" x14ac:dyDescent="0.25">
      <c r="A103" s="13" t="s">
        <v>217</v>
      </c>
      <c r="C103" s="13" t="s">
        <v>216</v>
      </c>
      <c r="D103" s="13" t="s">
        <v>85</v>
      </c>
      <c r="E103" s="56">
        <v>70</v>
      </c>
      <c r="F103" s="56">
        <v>7.6</v>
      </c>
      <c r="G103" s="13" t="s">
        <v>179</v>
      </c>
    </row>
    <row r="104" spans="1:7" x14ac:dyDescent="0.25">
      <c r="A104" s="13" t="s">
        <v>215</v>
      </c>
      <c r="C104" s="13" t="s">
        <v>214</v>
      </c>
      <c r="D104" s="13" t="s">
        <v>201</v>
      </c>
      <c r="E104" s="56">
        <v>70</v>
      </c>
      <c r="F104" s="56">
        <v>7.6</v>
      </c>
      <c r="G104" s="13" t="s">
        <v>179</v>
      </c>
    </row>
    <row r="105" spans="1:7" x14ac:dyDescent="0.25">
      <c r="A105" s="13" t="s">
        <v>213</v>
      </c>
      <c r="C105" s="13" t="s">
        <v>212</v>
      </c>
      <c r="D105" s="13" t="s">
        <v>85</v>
      </c>
      <c r="E105" s="56">
        <v>70</v>
      </c>
      <c r="F105" s="56">
        <v>7.6</v>
      </c>
      <c r="G105" s="13" t="s">
        <v>179</v>
      </c>
    </row>
    <row r="106" spans="1:7" x14ac:dyDescent="0.25">
      <c r="A106" s="13" t="s">
        <v>211</v>
      </c>
      <c r="C106" s="13" t="s">
        <v>210</v>
      </c>
      <c r="D106" s="13" t="s">
        <v>88</v>
      </c>
      <c r="E106" s="13">
        <v>100</v>
      </c>
      <c r="F106" s="13">
        <v>7.6</v>
      </c>
      <c r="G106" s="13" t="s">
        <v>179</v>
      </c>
    </row>
    <row r="107" spans="1:7" x14ac:dyDescent="0.25">
      <c r="A107" s="13" t="s">
        <v>209</v>
      </c>
      <c r="C107" s="13" t="s">
        <v>208</v>
      </c>
      <c r="D107" s="13" t="s">
        <v>201</v>
      </c>
      <c r="E107" s="56">
        <v>70</v>
      </c>
      <c r="F107" s="56">
        <v>7.6</v>
      </c>
      <c r="G107" s="13" t="s">
        <v>179</v>
      </c>
    </row>
    <row r="108" spans="1:7" x14ac:dyDescent="0.25">
      <c r="A108" s="13" t="s">
        <v>207</v>
      </c>
      <c r="C108" s="13" t="s">
        <v>206</v>
      </c>
      <c r="D108" s="13" t="s">
        <v>83</v>
      </c>
      <c r="E108" s="13">
        <v>70</v>
      </c>
      <c r="F108" s="13">
        <v>7.6</v>
      </c>
      <c r="G108" s="13" t="s">
        <v>179</v>
      </c>
    </row>
    <row r="109" spans="1:7" x14ac:dyDescent="0.25">
      <c r="A109" s="13" t="s">
        <v>205</v>
      </c>
      <c r="C109" s="13" t="s">
        <v>204</v>
      </c>
      <c r="D109" s="13" t="s">
        <v>201</v>
      </c>
      <c r="E109" s="56">
        <v>70</v>
      </c>
      <c r="F109" s="56">
        <v>7.6</v>
      </c>
      <c r="G109" s="13" t="s">
        <v>179</v>
      </c>
    </row>
    <row r="110" spans="1:7" x14ac:dyDescent="0.25">
      <c r="A110" s="13" t="s">
        <v>203</v>
      </c>
      <c r="C110" s="13" t="s">
        <v>202</v>
      </c>
      <c r="D110" s="13" t="s">
        <v>201</v>
      </c>
      <c r="E110" s="56">
        <v>70</v>
      </c>
      <c r="F110" s="56">
        <v>7.6</v>
      </c>
      <c r="G110" s="13" t="s">
        <v>179</v>
      </c>
    </row>
    <row r="111" spans="1:7" x14ac:dyDescent="0.25">
      <c r="A111" s="13" t="s">
        <v>200</v>
      </c>
      <c r="C111" s="13" t="s">
        <v>199</v>
      </c>
      <c r="D111" s="13" t="s">
        <v>83</v>
      </c>
      <c r="E111" s="56">
        <v>70</v>
      </c>
      <c r="F111" s="56">
        <v>7.6</v>
      </c>
      <c r="G111" s="13" t="s">
        <v>179</v>
      </c>
    </row>
    <row r="112" spans="1:7" x14ac:dyDescent="0.25">
      <c r="A112" s="13" t="s">
        <v>198</v>
      </c>
      <c r="B112" s="13" t="s">
        <v>197</v>
      </c>
      <c r="D112" s="13" t="s">
        <v>85</v>
      </c>
      <c r="E112" s="56">
        <v>70</v>
      </c>
      <c r="F112" s="56">
        <v>7.6</v>
      </c>
      <c r="G112" s="13" t="s">
        <v>179</v>
      </c>
    </row>
    <row r="113" spans="1:7" x14ac:dyDescent="0.25">
      <c r="A113" s="13" t="s">
        <v>196</v>
      </c>
      <c r="C113" s="13" t="s">
        <v>195</v>
      </c>
      <c r="D113" s="13" t="s">
        <v>194</v>
      </c>
      <c r="E113" s="56">
        <v>70</v>
      </c>
      <c r="F113" s="56">
        <v>7.6</v>
      </c>
      <c r="G113" s="13" t="s">
        <v>179</v>
      </c>
    </row>
    <row r="114" spans="1:7" x14ac:dyDescent="0.25">
      <c r="A114" s="13" t="s">
        <v>193</v>
      </c>
      <c r="C114" s="13" t="s">
        <v>192</v>
      </c>
      <c r="D114" s="13" t="s">
        <v>89</v>
      </c>
      <c r="E114" s="56">
        <v>100</v>
      </c>
      <c r="F114" s="56">
        <v>7.6</v>
      </c>
      <c r="G114" s="13" t="s">
        <v>179</v>
      </c>
    </row>
    <row r="115" spans="1:7" x14ac:dyDescent="0.25">
      <c r="A115" s="13" t="s">
        <v>191</v>
      </c>
      <c r="C115" s="13" t="s">
        <v>190</v>
      </c>
      <c r="D115" s="13" t="s">
        <v>88</v>
      </c>
      <c r="E115" s="56">
        <v>80</v>
      </c>
      <c r="F115" s="56">
        <v>7.6</v>
      </c>
      <c r="G115" s="13" t="s">
        <v>179</v>
      </c>
    </row>
    <row r="116" spans="1:7" x14ac:dyDescent="0.25">
      <c r="A116" s="13" t="s">
        <v>189</v>
      </c>
      <c r="B116" s="13" t="s">
        <v>188</v>
      </c>
      <c r="D116" s="13" t="s">
        <v>201</v>
      </c>
      <c r="E116" s="56">
        <v>70</v>
      </c>
      <c r="F116" s="56">
        <v>7.6</v>
      </c>
      <c r="G116" s="13" t="s">
        <v>179</v>
      </c>
    </row>
    <row r="117" spans="1:7" x14ac:dyDescent="0.25">
      <c r="A117" s="13" t="s">
        <v>455</v>
      </c>
      <c r="C117" s="13" t="s">
        <v>187</v>
      </c>
      <c r="D117" s="13" t="s">
        <v>85</v>
      </c>
      <c r="E117" s="13">
        <v>70</v>
      </c>
      <c r="F117" s="13">
        <v>7.6</v>
      </c>
      <c r="G117" s="13" t="s">
        <v>179</v>
      </c>
    </row>
    <row r="118" spans="1:7" x14ac:dyDescent="0.25">
      <c r="A118" s="13" t="s">
        <v>186</v>
      </c>
      <c r="C118" s="13" t="s">
        <v>185</v>
      </c>
      <c r="D118" s="13" t="s">
        <v>201</v>
      </c>
      <c r="E118" s="56">
        <v>70</v>
      </c>
      <c r="F118" s="56">
        <v>7.6</v>
      </c>
      <c r="G118" s="13" t="s">
        <v>179</v>
      </c>
    </row>
    <row r="119" spans="1:7" x14ac:dyDescent="0.25">
      <c r="A119" s="13" t="s">
        <v>184</v>
      </c>
      <c r="C119" s="13" t="s">
        <v>183</v>
      </c>
      <c r="D119" s="13" t="s">
        <v>88</v>
      </c>
      <c r="E119" s="56">
        <v>70</v>
      </c>
      <c r="F119" s="56">
        <v>7.6</v>
      </c>
      <c r="G119" s="13" t="s">
        <v>179</v>
      </c>
    </row>
    <row r="120" spans="1:7" x14ac:dyDescent="0.25">
      <c r="A120" s="13" t="s">
        <v>182</v>
      </c>
      <c r="C120" s="13" t="s">
        <v>181</v>
      </c>
      <c r="D120" s="13" t="s">
        <v>88</v>
      </c>
      <c r="E120" s="56">
        <v>70</v>
      </c>
      <c r="F120" s="56">
        <v>7.6</v>
      </c>
      <c r="G120" s="13" t="s">
        <v>179</v>
      </c>
    </row>
    <row r="121" spans="1:7" x14ac:dyDescent="0.25">
      <c r="A121" s="13" t="s">
        <v>180</v>
      </c>
      <c r="C121" s="13" t="s">
        <v>456</v>
      </c>
      <c r="D121" s="13" t="s">
        <v>85</v>
      </c>
      <c r="E121" s="56">
        <v>70</v>
      </c>
      <c r="F121" s="56">
        <v>7.6</v>
      </c>
      <c r="G121" s="13" t="s">
        <v>179</v>
      </c>
    </row>
  </sheetData>
  <customSheetViews>
    <customSheetView guid="{AEF9E62C-83A9-4673-8233-4BD95CE1CD85}" state="hidden">
      <selection activeCell="A2" sqref="A2"/>
    </customSheetView>
    <customSheetView guid="{BA562366-A36C-43E5-A385-816C6D2E948F}" state="hidden">
      <selection activeCell="A2" sqref="A2"/>
      <pageMargins left="0.511811024" right="0.511811024" top="0.78740157499999996" bottom="0.78740157499999996" header="0.31496062000000002" footer="0.31496062000000002"/>
      <pageSetup paperSize="9" orientation="portrait" horizontalDpi="0" verticalDpi="0" r:id="rId1"/>
    </customSheetView>
  </customSheetViews>
  <pageMargins left="0.511811024" right="0.511811024" top="0.78740157499999996" bottom="0.78740157499999996" header="0.31496062000000002" footer="0.31496062000000002"/>
  <pageSetup paperSize="9" orientation="portrait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F0000"/>
  </sheetPr>
  <dimension ref="A1:P36"/>
  <sheetViews>
    <sheetView showGridLines="0" workbookViewId="0">
      <selection activeCell="M4" sqref="M4"/>
    </sheetView>
  </sheetViews>
  <sheetFormatPr defaultColWidth="9.140625" defaultRowHeight="15" x14ac:dyDescent="0.25"/>
  <cols>
    <col min="1" max="1" width="8.7109375" style="13" customWidth="1"/>
    <col min="2" max="2" width="6.28515625" style="13" customWidth="1"/>
    <col min="3" max="3" width="7.5703125" style="13" customWidth="1"/>
    <col min="4" max="4" width="9.28515625" style="13" customWidth="1"/>
    <col min="5" max="5" width="8.7109375" style="13" customWidth="1"/>
    <col min="6" max="6" width="9.5703125" style="13" customWidth="1"/>
    <col min="7" max="16384" width="9.140625" style="13"/>
  </cols>
  <sheetData>
    <row r="1" spans="1:16" ht="63.75" customHeight="1" x14ac:dyDescent="0.25">
      <c r="G1" s="108" t="s">
        <v>410</v>
      </c>
      <c r="H1" s="108"/>
      <c r="I1" s="108"/>
      <c r="J1" s="108"/>
      <c r="K1" s="108"/>
    </row>
    <row r="2" spans="1:16" ht="15.75" x14ac:dyDescent="0.25">
      <c r="E2" s="44" t="s">
        <v>411</v>
      </c>
      <c r="F2" s="45"/>
      <c r="G2" s="46" t="s">
        <v>177</v>
      </c>
      <c r="H2" s="47">
        <f ca="1">A13</f>
        <v>44278</v>
      </c>
      <c r="I2" s="45"/>
      <c r="J2" s="46" t="s">
        <v>178</v>
      </c>
      <c r="K2" s="48">
        <f ca="1">H2</f>
        <v>44278</v>
      </c>
    </row>
    <row r="3" spans="1:16" ht="14.25" customHeight="1" x14ac:dyDescent="0.25">
      <c r="A3" s="49"/>
      <c r="B3" s="49"/>
      <c r="C3" s="49"/>
      <c r="D3" s="49"/>
      <c r="E3" s="49"/>
      <c r="F3" s="49"/>
    </row>
    <row r="4" spans="1:16" ht="15.75" x14ac:dyDescent="0.25">
      <c r="A4" s="50" t="s">
        <v>412</v>
      </c>
      <c r="B4" s="49"/>
      <c r="C4" s="49"/>
      <c r="D4" s="49"/>
      <c r="E4" s="49"/>
      <c r="F4" s="49"/>
    </row>
    <row r="5" spans="1:16" ht="15.75" x14ac:dyDescent="0.25">
      <c r="A5" s="50" t="s">
        <v>413</v>
      </c>
      <c r="D5" s="51" t="s">
        <v>414</v>
      </c>
      <c r="E5" s="49"/>
      <c r="G5" s="51" t="s">
        <v>126</v>
      </c>
      <c r="H5" s="49"/>
    </row>
    <row r="6" spans="1:16" ht="15.75" x14ac:dyDescent="0.25">
      <c r="A6" s="50" t="s">
        <v>415</v>
      </c>
      <c r="B6" s="49"/>
      <c r="C6" s="49"/>
      <c r="D6" s="49"/>
      <c r="E6" s="49"/>
      <c r="F6" s="49"/>
    </row>
    <row r="7" spans="1:16" ht="15.75" x14ac:dyDescent="0.25">
      <c r="A7" s="50" t="s">
        <v>416</v>
      </c>
      <c r="B7" s="49"/>
      <c r="C7" s="49"/>
      <c r="D7" s="109"/>
      <c r="E7" s="110"/>
      <c r="F7" s="49"/>
    </row>
    <row r="8" spans="1:16" ht="15.75" x14ac:dyDescent="0.25">
      <c r="A8" s="50" t="s">
        <v>417</v>
      </c>
      <c r="B8" s="49"/>
      <c r="C8" s="49"/>
      <c r="D8" s="49"/>
      <c r="E8" s="49"/>
      <c r="F8" s="109"/>
      <c r="G8" s="110"/>
    </row>
    <row r="9" spans="1:16" ht="15.75" x14ac:dyDescent="0.25">
      <c r="A9" s="50" t="s">
        <v>418</v>
      </c>
      <c r="B9" s="49"/>
      <c r="C9" s="49"/>
      <c r="D9" s="49"/>
      <c r="E9" s="49"/>
      <c r="F9" s="49"/>
    </row>
    <row r="10" spans="1:16" ht="12" customHeight="1" x14ac:dyDescent="0.25">
      <c r="A10" s="49"/>
      <c r="B10" s="49"/>
      <c r="C10" s="49"/>
      <c r="D10" s="49"/>
      <c r="E10" s="49"/>
      <c r="F10" s="49"/>
    </row>
    <row r="11" spans="1:16" ht="15.75" x14ac:dyDescent="0.25">
      <c r="A11" s="111" t="s">
        <v>419</v>
      </c>
      <c r="B11" s="112"/>
      <c r="C11" s="113"/>
      <c r="D11" s="111" t="s">
        <v>420</v>
      </c>
      <c r="E11" s="112"/>
      <c r="F11" s="113"/>
      <c r="G11" s="111" t="s">
        <v>421</v>
      </c>
      <c r="H11" s="112"/>
      <c r="I11" s="113"/>
      <c r="J11" s="111" t="s">
        <v>422</v>
      </c>
      <c r="K11" s="113"/>
    </row>
    <row r="12" spans="1:16" ht="3" customHeight="1" x14ac:dyDescent="0.25">
      <c r="D12" s="49"/>
      <c r="E12" s="49"/>
      <c r="F12" s="49"/>
    </row>
    <row r="13" spans="1:16" ht="20.25" customHeight="1" x14ac:dyDescent="0.25">
      <c r="A13" s="106">
        <f ca="1">TODAY()-2</f>
        <v>44278</v>
      </c>
      <c r="B13" s="107"/>
      <c r="C13" s="52" t="str">
        <f ca="1">VLOOKUP(M13,$O$13:$P$19,2)</f>
        <v>TER</v>
      </c>
      <c r="D13" s="53"/>
      <c r="E13" s="45"/>
      <c r="F13" s="54"/>
      <c r="G13" s="53"/>
      <c r="H13" s="45"/>
      <c r="I13" s="54"/>
      <c r="J13" s="53"/>
      <c r="K13" s="54"/>
      <c r="M13" s="13">
        <f ca="1">WEEKDAY(A13)</f>
        <v>3</v>
      </c>
      <c r="O13" s="13">
        <v>1</v>
      </c>
      <c r="P13" s="13" t="s">
        <v>71</v>
      </c>
    </row>
    <row r="14" spans="1:16" ht="20.25" customHeight="1" x14ac:dyDescent="0.25">
      <c r="A14" s="106">
        <f ca="1">A13+1</f>
        <v>44279</v>
      </c>
      <c r="B14" s="107"/>
      <c r="C14" s="52" t="str">
        <f t="shared" ref="C14:C30" ca="1" si="0">VLOOKUP(M14,$O$13:$P$19,2)</f>
        <v>QUA</v>
      </c>
      <c r="D14" s="53"/>
      <c r="E14" s="45"/>
      <c r="F14" s="54"/>
      <c r="G14" s="53"/>
      <c r="H14" s="45"/>
      <c r="I14" s="54"/>
      <c r="J14" s="53"/>
      <c r="K14" s="54"/>
      <c r="M14" s="13">
        <f t="shared" ref="M14:M30" ca="1" si="1">WEEKDAY(A14)</f>
        <v>4</v>
      </c>
      <c r="O14" s="13">
        <v>2</v>
      </c>
      <c r="P14" s="13" t="s">
        <v>72</v>
      </c>
    </row>
    <row r="15" spans="1:16" ht="20.25" customHeight="1" x14ac:dyDescent="0.25">
      <c r="A15" s="106">
        <f t="shared" ref="A15:A30" ca="1" si="2">A14+1</f>
        <v>44280</v>
      </c>
      <c r="B15" s="107"/>
      <c r="C15" s="52" t="str">
        <f t="shared" ca="1" si="0"/>
        <v>QUI</v>
      </c>
      <c r="D15" s="53"/>
      <c r="E15" s="45"/>
      <c r="F15" s="54"/>
      <c r="G15" s="53"/>
      <c r="H15" s="45"/>
      <c r="I15" s="54"/>
      <c r="J15" s="53"/>
      <c r="K15" s="54"/>
      <c r="M15" s="13">
        <f t="shared" ca="1" si="1"/>
        <v>5</v>
      </c>
      <c r="O15" s="13">
        <v>3</v>
      </c>
      <c r="P15" s="13" t="s">
        <v>73</v>
      </c>
    </row>
    <row r="16" spans="1:16" ht="20.25" customHeight="1" x14ac:dyDescent="0.25">
      <c r="A16" s="106">
        <f t="shared" ca="1" si="2"/>
        <v>44281</v>
      </c>
      <c r="B16" s="107"/>
      <c r="C16" s="52" t="str">
        <f t="shared" ca="1" si="0"/>
        <v>SEX</v>
      </c>
      <c r="D16" s="53"/>
      <c r="E16" s="45"/>
      <c r="F16" s="54"/>
      <c r="G16" s="53"/>
      <c r="H16" s="45"/>
      <c r="I16" s="54"/>
      <c r="J16" s="53"/>
      <c r="K16" s="54"/>
      <c r="M16" s="13">
        <f t="shared" ca="1" si="1"/>
        <v>6</v>
      </c>
      <c r="O16" s="13">
        <v>4</v>
      </c>
      <c r="P16" s="13" t="s">
        <v>74</v>
      </c>
    </row>
    <row r="17" spans="1:16" ht="20.25" customHeight="1" x14ac:dyDescent="0.25">
      <c r="A17" s="106">
        <f t="shared" ca="1" si="2"/>
        <v>44282</v>
      </c>
      <c r="B17" s="107"/>
      <c r="C17" s="52" t="str">
        <f t="shared" ca="1" si="0"/>
        <v>SAB</v>
      </c>
      <c r="D17" s="53"/>
      <c r="E17" s="45"/>
      <c r="F17" s="54"/>
      <c r="G17" s="53"/>
      <c r="H17" s="45"/>
      <c r="I17" s="54"/>
      <c r="J17" s="53"/>
      <c r="K17" s="54"/>
      <c r="M17" s="13">
        <f t="shared" ca="1" si="1"/>
        <v>7</v>
      </c>
      <c r="O17" s="13">
        <v>5</v>
      </c>
      <c r="P17" s="13" t="s">
        <v>75</v>
      </c>
    </row>
    <row r="18" spans="1:16" ht="20.25" customHeight="1" x14ac:dyDescent="0.25">
      <c r="A18" s="106">
        <f t="shared" ca="1" si="2"/>
        <v>44283</v>
      </c>
      <c r="B18" s="107"/>
      <c r="C18" s="52" t="str">
        <f t="shared" ca="1" si="0"/>
        <v>DOM</v>
      </c>
      <c r="D18" s="53"/>
      <c r="E18" s="45"/>
      <c r="F18" s="54"/>
      <c r="G18" s="53"/>
      <c r="H18" s="45"/>
      <c r="I18" s="54"/>
      <c r="J18" s="53"/>
      <c r="K18" s="54"/>
      <c r="M18" s="13">
        <f t="shared" ca="1" si="1"/>
        <v>1</v>
      </c>
      <c r="O18" s="13">
        <v>6</v>
      </c>
      <c r="P18" s="13" t="s">
        <v>76</v>
      </c>
    </row>
    <row r="19" spans="1:16" ht="20.25" customHeight="1" x14ac:dyDescent="0.25">
      <c r="A19" s="106">
        <f t="shared" ca="1" si="2"/>
        <v>44284</v>
      </c>
      <c r="B19" s="107"/>
      <c r="C19" s="52" t="str">
        <f t="shared" ca="1" si="0"/>
        <v>SEG</v>
      </c>
      <c r="D19" s="53"/>
      <c r="E19" s="45"/>
      <c r="F19" s="54"/>
      <c r="G19" s="53"/>
      <c r="H19" s="45"/>
      <c r="I19" s="54"/>
      <c r="J19" s="53"/>
      <c r="K19" s="54"/>
      <c r="M19" s="13">
        <f t="shared" ca="1" si="1"/>
        <v>2</v>
      </c>
      <c r="O19" s="13">
        <v>7</v>
      </c>
      <c r="P19" s="13" t="s">
        <v>77</v>
      </c>
    </row>
    <row r="20" spans="1:16" ht="20.25" customHeight="1" x14ac:dyDescent="0.25">
      <c r="A20" s="106">
        <f t="shared" ca="1" si="2"/>
        <v>44285</v>
      </c>
      <c r="B20" s="107"/>
      <c r="C20" s="52" t="str">
        <f t="shared" ca="1" si="0"/>
        <v>TER</v>
      </c>
      <c r="D20" s="53"/>
      <c r="E20" s="45"/>
      <c r="F20" s="54"/>
      <c r="G20" s="53"/>
      <c r="H20" s="45"/>
      <c r="I20" s="54"/>
      <c r="J20" s="53"/>
      <c r="K20" s="54"/>
      <c r="M20" s="13">
        <f t="shared" ca="1" si="1"/>
        <v>3</v>
      </c>
    </row>
    <row r="21" spans="1:16" ht="20.25" customHeight="1" x14ac:dyDescent="0.25">
      <c r="A21" s="106">
        <f t="shared" ca="1" si="2"/>
        <v>44286</v>
      </c>
      <c r="B21" s="107"/>
      <c r="C21" s="52" t="str">
        <f t="shared" ca="1" si="0"/>
        <v>QUA</v>
      </c>
      <c r="D21" s="53"/>
      <c r="E21" s="45"/>
      <c r="F21" s="54"/>
      <c r="G21" s="53"/>
      <c r="H21" s="45"/>
      <c r="I21" s="54"/>
      <c r="J21" s="53"/>
      <c r="K21" s="54"/>
      <c r="M21" s="13">
        <f t="shared" ca="1" si="1"/>
        <v>4</v>
      </c>
    </row>
    <row r="22" spans="1:16" ht="20.25" customHeight="1" x14ac:dyDescent="0.25">
      <c r="A22" s="106">
        <f t="shared" ca="1" si="2"/>
        <v>44287</v>
      </c>
      <c r="B22" s="107"/>
      <c r="C22" s="52" t="str">
        <f t="shared" ca="1" si="0"/>
        <v>QUI</v>
      </c>
      <c r="D22" s="53"/>
      <c r="E22" s="45"/>
      <c r="F22" s="54"/>
      <c r="G22" s="53"/>
      <c r="H22" s="45"/>
      <c r="I22" s="54"/>
      <c r="J22" s="53"/>
      <c r="K22" s="54"/>
      <c r="M22" s="13">
        <f t="shared" ca="1" si="1"/>
        <v>5</v>
      </c>
    </row>
    <row r="23" spans="1:16" ht="20.25" customHeight="1" x14ac:dyDescent="0.25">
      <c r="A23" s="106">
        <f t="shared" ca="1" si="2"/>
        <v>44288</v>
      </c>
      <c r="B23" s="107"/>
      <c r="C23" s="52" t="str">
        <f t="shared" ca="1" si="0"/>
        <v>SEX</v>
      </c>
      <c r="D23" s="53"/>
      <c r="E23" s="45"/>
      <c r="F23" s="54"/>
      <c r="G23" s="53"/>
      <c r="H23" s="45"/>
      <c r="I23" s="54"/>
      <c r="J23" s="53"/>
      <c r="K23" s="54"/>
      <c r="M23" s="13">
        <f t="shared" ca="1" si="1"/>
        <v>6</v>
      </c>
    </row>
    <row r="24" spans="1:16" ht="20.25" customHeight="1" x14ac:dyDescent="0.25">
      <c r="A24" s="106">
        <f t="shared" ca="1" si="2"/>
        <v>44289</v>
      </c>
      <c r="B24" s="107"/>
      <c r="C24" s="52" t="str">
        <f t="shared" ca="1" si="0"/>
        <v>SAB</v>
      </c>
      <c r="D24" s="53"/>
      <c r="E24" s="45"/>
      <c r="F24" s="54"/>
      <c r="G24" s="53"/>
      <c r="H24" s="45"/>
      <c r="I24" s="54"/>
      <c r="J24" s="53"/>
      <c r="K24" s="54"/>
      <c r="M24" s="13">
        <f t="shared" ca="1" si="1"/>
        <v>7</v>
      </c>
    </row>
    <row r="25" spans="1:16" ht="20.25" customHeight="1" x14ac:dyDescent="0.25">
      <c r="A25" s="106">
        <f t="shared" ca="1" si="2"/>
        <v>44290</v>
      </c>
      <c r="B25" s="107"/>
      <c r="C25" s="52" t="str">
        <f t="shared" ca="1" si="0"/>
        <v>DOM</v>
      </c>
      <c r="D25" s="53"/>
      <c r="E25" s="45"/>
      <c r="F25" s="54"/>
      <c r="G25" s="53"/>
      <c r="H25" s="45"/>
      <c r="I25" s="54"/>
      <c r="J25" s="53"/>
      <c r="K25" s="54"/>
      <c r="M25" s="13">
        <f t="shared" ca="1" si="1"/>
        <v>1</v>
      </c>
    </row>
    <row r="26" spans="1:16" ht="20.25" customHeight="1" x14ac:dyDescent="0.25">
      <c r="A26" s="106">
        <f t="shared" ca="1" si="2"/>
        <v>44291</v>
      </c>
      <c r="B26" s="107"/>
      <c r="C26" s="52" t="str">
        <f t="shared" ca="1" si="0"/>
        <v>SEG</v>
      </c>
      <c r="D26" s="53"/>
      <c r="E26" s="45"/>
      <c r="F26" s="54"/>
      <c r="G26" s="53"/>
      <c r="H26" s="45"/>
      <c r="I26" s="54"/>
      <c r="J26" s="53"/>
      <c r="K26" s="54"/>
      <c r="M26" s="13">
        <f t="shared" ca="1" si="1"/>
        <v>2</v>
      </c>
    </row>
    <row r="27" spans="1:16" ht="20.25" customHeight="1" x14ac:dyDescent="0.25">
      <c r="A27" s="106">
        <f t="shared" ca="1" si="2"/>
        <v>44292</v>
      </c>
      <c r="B27" s="107"/>
      <c r="C27" s="52" t="str">
        <f t="shared" ca="1" si="0"/>
        <v>TER</v>
      </c>
      <c r="D27" s="53"/>
      <c r="E27" s="45"/>
      <c r="F27" s="54"/>
      <c r="G27" s="53"/>
      <c r="H27" s="45"/>
      <c r="I27" s="54"/>
      <c r="J27" s="53"/>
      <c r="K27" s="54"/>
      <c r="M27" s="13">
        <f t="shared" ca="1" si="1"/>
        <v>3</v>
      </c>
    </row>
    <row r="28" spans="1:16" ht="20.25" customHeight="1" x14ac:dyDescent="0.25">
      <c r="A28" s="106">
        <f t="shared" ca="1" si="2"/>
        <v>44293</v>
      </c>
      <c r="B28" s="107"/>
      <c r="C28" s="52" t="str">
        <f t="shared" ca="1" si="0"/>
        <v>QUA</v>
      </c>
      <c r="D28" s="53"/>
      <c r="E28" s="45"/>
      <c r="F28" s="54"/>
      <c r="G28" s="53"/>
      <c r="H28" s="45"/>
      <c r="I28" s="54"/>
      <c r="J28" s="53"/>
      <c r="K28" s="54"/>
      <c r="M28" s="13">
        <f t="shared" ca="1" si="1"/>
        <v>4</v>
      </c>
    </row>
    <row r="29" spans="1:16" ht="20.25" customHeight="1" x14ac:dyDescent="0.25">
      <c r="A29" s="106">
        <f t="shared" ca="1" si="2"/>
        <v>44294</v>
      </c>
      <c r="B29" s="107"/>
      <c r="C29" s="52" t="str">
        <f t="shared" ca="1" si="0"/>
        <v>QUI</v>
      </c>
      <c r="D29" s="53"/>
      <c r="E29" s="45"/>
      <c r="F29" s="54"/>
      <c r="G29" s="53"/>
      <c r="H29" s="45"/>
      <c r="I29" s="54"/>
      <c r="J29" s="53"/>
      <c r="K29" s="54"/>
      <c r="M29" s="13">
        <f t="shared" ca="1" si="1"/>
        <v>5</v>
      </c>
    </row>
    <row r="30" spans="1:16" ht="20.25" customHeight="1" x14ac:dyDescent="0.25">
      <c r="A30" s="106">
        <f t="shared" ca="1" si="2"/>
        <v>44295</v>
      </c>
      <c r="B30" s="107"/>
      <c r="C30" s="52" t="str">
        <f t="shared" ca="1" si="0"/>
        <v>SEX</v>
      </c>
      <c r="D30" s="53"/>
      <c r="E30" s="45"/>
      <c r="F30" s="54"/>
      <c r="G30" s="53"/>
      <c r="H30" s="45"/>
      <c r="I30" s="54"/>
      <c r="J30" s="53"/>
      <c r="K30" s="54"/>
      <c r="M30" s="13">
        <f t="shared" ca="1" si="1"/>
        <v>6</v>
      </c>
    </row>
    <row r="31" spans="1:16" x14ac:dyDescent="0.25">
      <c r="A31" s="15" t="s">
        <v>461</v>
      </c>
    </row>
    <row r="33" spans="1:8" ht="23.25" x14ac:dyDescent="0.35">
      <c r="A33" s="55"/>
      <c r="B33" s="8"/>
      <c r="C33" s="8"/>
      <c r="D33" s="8"/>
      <c r="E33" s="8"/>
      <c r="F33" s="8"/>
      <c r="G33" s="8"/>
      <c r="H33" s="8"/>
    </row>
    <row r="34" spans="1:8" x14ac:dyDescent="0.25">
      <c r="A34" s="8"/>
      <c r="B34" s="8"/>
      <c r="C34" s="8"/>
      <c r="D34" s="8"/>
      <c r="E34" s="8"/>
      <c r="F34" s="8"/>
      <c r="G34" s="8"/>
      <c r="H34" s="8"/>
    </row>
    <row r="35" spans="1:8" x14ac:dyDescent="0.25">
      <c r="A35" s="8"/>
      <c r="B35" s="8"/>
      <c r="C35" s="8"/>
      <c r="D35" s="8"/>
      <c r="E35" s="8"/>
      <c r="F35" s="8"/>
      <c r="G35" s="8"/>
      <c r="H35" s="8"/>
    </row>
    <row r="36" spans="1:8" ht="23.25" x14ac:dyDescent="0.35">
      <c r="A36" s="55"/>
      <c r="B36" s="8"/>
      <c r="C36" s="8"/>
      <c r="D36" s="8"/>
      <c r="E36" s="8"/>
      <c r="F36" s="8"/>
      <c r="G36" s="8"/>
      <c r="H36" s="8"/>
    </row>
  </sheetData>
  <customSheetViews>
    <customSheetView guid="{AEF9E62C-83A9-4673-8233-4BD95CE1CD85}" showGridLines="0" state="hidden">
      <selection activeCell="M4" sqref="M4"/>
    </customSheetView>
    <customSheetView guid="{BA562366-A36C-43E5-A385-816C6D2E948F}" showPageBreaks="1" showGridLines="0" printArea="1" state="hidden">
      <selection activeCell="M4" sqref="M4"/>
      <pageMargins left="0.23622047244094491" right="0.23622047244094491" top="0.32" bottom="0.33" header="0.31496062992125984" footer="0.31496062992125984"/>
      <printOptions horizontalCentered="1"/>
      <pageSetup paperSize="9" orientation="portrait" horizontalDpi="300" verticalDpi="300" r:id="rId1"/>
    </customSheetView>
  </customSheetViews>
  <mergeCells count="25">
    <mergeCell ref="A18:B18"/>
    <mergeCell ref="G1:K1"/>
    <mergeCell ref="D7:E7"/>
    <mergeCell ref="F8:G8"/>
    <mergeCell ref="A11:C11"/>
    <mergeCell ref="D11:F11"/>
    <mergeCell ref="G11:I11"/>
    <mergeCell ref="J11:K11"/>
    <mergeCell ref="A13:B13"/>
    <mergeCell ref="A14:B14"/>
    <mergeCell ref="A15:B15"/>
    <mergeCell ref="A16:B16"/>
    <mergeCell ref="A17:B17"/>
    <mergeCell ref="A30:B30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</mergeCells>
  <conditionalFormatting sqref="C13:C30">
    <cfRule type="cellIs" dxfId="0" priority="1" operator="equal">
      <formula>"DOM"</formula>
    </cfRule>
  </conditionalFormatting>
  <pageMargins left="0.23622047244094491" right="0.23622047244094491" top="0.32" bottom="0.33" header="0.31496062992125984" footer="0.31496062992125984"/>
  <pageSetup paperSize="9" orientation="portrait" horizontalDpi="300" verticalDpi="30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0070C0"/>
  </sheetPr>
  <dimension ref="A1:Y49"/>
  <sheetViews>
    <sheetView topLeftCell="A36" workbookViewId="0">
      <selection activeCell="A49" sqref="A49"/>
    </sheetView>
  </sheetViews>
  <sheetFormatPr defaultColWidth="9.140625" defaultRowHeight="15" x14ac:dyDescent="0.25"/>
  <cols>
    <col min="1" max="1" width="15.85546875" style="74" customWidth="1"/>
    <col min="2" max="2" width="12.42578125" style="13" customWidth="1"/>
    <col min="3" max="3" width="12.140625" style="13" customWidth="1"/>
    <col min="4" max="4" width="12.28515625" style="13" customWidth="1"/>
    <col min="5" max="5" width="7" style="13" customWidth="1"/>
    <col min="6" max="6" width="4.85546875" style="13" customWidth="1"/>
    <col min="7" max="7" width="15.28515625" style="13" customWidth="1"/>
    <col min="8" max="8" width="25.5703125" style="13" customWidth="1"/>
    <col min="9" max="9" width="13.28515625" style="13" customWidth="1"/>
    <col min="10" max="11" width="13.5703125" style="13" bestFit="1" customWidth="1"/>
    <col min="12" max="12" width="9.42578125" style="13" customWidth="1"/>
    <col min="13" max="13" width="5.5703125" style="13" customWidth="1"/>
    <col min="14" max="14" width="20" style="13" customWidth="1"/>
    <col min="15" max="15" width="14.28515625" style="13" customWidth="1"/>
    <col min="16" max="16" width="11.85546875" style="13" customWidth="1"/>
    <col min="17" max="17" width="12.140625" style="13" customWidth="1"/>
    <col min="18" max="18" width="13.42578125" style="13" customWidth="1"/>
    <col min="19" max="19" width="13.7109375" style="13" customWidth="1"/>
    <col min="20" max="22" width="13.42578125" style="13" customWidth="1"/>
    <col min="23" max="23" width="13.7109375" style="13" customWidth="1"/>
    <col min="24" max="24" width="9.28515625" style="13" customWidth="1"/>
    <col min="25" max="25" width="10.28515625" style="13" customWidth="1"/>
    <col min="26" max="16384" width="9.140625" style="13"/>
  </cols>
  <sheetData>
    <row r="1" spans="1:25" x14ac:dyDescent="0.25">
      <c r="A1" s="17" t="s">
        <v>164</v>
      </c>
      <c r="B1" s="17" t="s">
        <v>163</v>
      </c>
      <c r="C1" s="17" t="s">
        <v>162</v>
      </c>
      <c r="D1" s="17" t="s">
        <v>161</v>
      </c>
      <c r="E1" s="17" t="s">
        <v>160</v>
      </c>
      <c r="F1" s="17" t="s">
        <v>92</v>
      </c>
      <c r="G1" s="17" t="s">
        <v>93</v>
      </c>
      <c r="H1" s="17" t="s">
        <v>159</v>
      </c>
      <c r="I1" s="17" t="s">
        <v>0</v>
      </c>
      <c r="J1" s="17" t="s">
        <v>158</v>
      </c>
      <c r="K1" s="17" t="s">
        <v>157</v>
      </c>
      <c r="L1" s="17" t="s">
        <v>94</v>
      </c>
      <c r="M1" s="17" t="s">
        <v>156</v>
      </c>
      <c r="N1" s="17" t="s">
        <v>96</v>
      </c>
      <c r="O1" s="17" t="s">
        <v>155</v>
      </c>
      <c r="P1" s="17" t="s">
        <v>154</v>
      </c>
      <c r="Q1" s="17" t="s">
        <v>153</v>
      </c>
      <c r="R1" s="17" t="s">
        <v>152</v>
      </c>
      <c r="S1" s="17" t="s">
        <v>151</v>
      </c>
      <c r="T1" s="17" t="s">
        <v>150</v>
      </c>
      <c r="U1" s="17" t="s">
        <v>149</v>
      </c>
      <c r="V1" s="17" t="s">
        <v>148</v>
      </c>
      <c r="W1" s="17" t="s">
        <v>147</v>
      </c>
      <c r="X1" s="17" t="s">
        <v>146</v>
      </c>
      <c r="Y1" s="17" t="s">
        <v>145</v>
      </c>
    </row>
    <row r="2" spans="1:25" x14ac:dyDescent="0.25">
      <c r="A2" s="74">
        <v>1</v>
      </c>
    </row>
    <row r="3" spans="1:25" x14ac:dyDescent="0.25">
      <c r="A3" s="74">
        <v>2</v>
      </c>
      <c r="B3" s="13" t="s">
        <v>463</v>
      </c>
      <c r="C3" s="13" t="s">
        <v>464</v>
      </c>
      <c r="D3" s="13" t="s">
        <v>169</v>
      </c>
      <c r="E3" s="13">
        <v>2</v>
      </c>
      <c r="F3" s="13" t="s">
        <v>97</v>
      </c>
      <c r="G3" s="13" t="s">
        <v>98</v>
      </c>
      <c r="H3" s="13" t="s">
        <v>465</v>
      </c>
      <c r="I3" s="13" t="s">
        <v>466</v>
      </c>
      <c r="J3" s="13" t="s">
        <v>467</v>
      </c>
      <c r="K3" s="13" t="s">
        <v>468</v>
      </c>
      <c r="L3" s="13" t="s">
        <v>106</v>
      </c>
      <c r="M3" s="13" t="s">
        <v>99</v>
      </c>
      <c r="N3" s="13" t="s">
        <v>111</v>
      </c>
      <c r="O3" s="13" t="s">
        <v>469</v>
      </c>
      <c r="P3" s="13">
        <v>5</v>
      </c>
      <c r="Q3" s="13">
        <v>80</v>
      </c>
      <c r="R3" s="13">
        <v>0</v>
      </c>
      <c r="S3" s="13">
        <v>0</v>
      </c>
      <c r="T3" s="13">
        <v>0</v>
      </c>
      <c r="U3" s="13">
        <v>0</v>
      </c>
      <c r="V3" s="13">
        <v>0</v>
      </c>
      <c r="W3" s="13">
        <v>0</v>
      </c>
      <c r="X3" s="13">
        <v>0</v>
      </c>
      <c r="Y3" s="13">
        <v>240</v>
      </c>
    </row>
    <row r="4" spans="1:25" x14ac:dyDescent="0.25">
      <c r="A4" s="74">
        <v>3</v>
      </c>
      <c r="B4" s="13" t="s">
        <v>472</v>
      </c>
      <c r="C4" s="75">
        <v>43077</v>
      </c>
      <c r="D4" s="13" t="s">
        <v>169</v>
      </c>
      <c r="E4" s="13">
        <v>3</v>
      </c>
      <c r="F4" s="13" t="s">
        <v>97</v>
      </c>
      <c r="G4" s="13" t="s">
        <v>98</v>
      </c>
      <c r="H4" s="13" t="s">
        <v>473</v>
      </c>
      <c r="J4" s="13" t="s">
        <v>474</v>
      </c>
      <c r="K4" s="13" t="s">
        <v>475</v>
      </c>
      <c r="L4" s="13" t="s">
        <v>106</v>
      </c>
      <c r="M4" s="13" t="s">
        <v>99</v>
      </c>
      <c r="N4" s="13" t="s">
        <v>111</v>
      </c>
      <c r="P4" s="13">
        <v>2</v>
      </c>
      <c r="Q4" s="13">
        <v>87</v>
      </c>
      <c r="R4" s="13">
        <v>0</v>
      </c>
      <c r="S4" s="13">
        <v>0</v>
      </c>
      <c r="T4" s="13">
        <v>0</v>
      </c>
      <c r="U4" s="13">
        <v>0</v>
      </c>
      <c r="V4" s="13">
        <v>0</v>
      </c>
      <c r="W4" s="13">
        <v>0</v>
      </c>
      <c r="X4" s="13">
        <v>0</v>
      </c>
      <c r="Y4" s="13">
        <v>156</v>
      </c>
    </row>
    <row r="5" spans="1:25" x14ac:dyDescent="0.25">
      <c r="A5" s="74">
        <v>4</v>
      </c>
      <c r="B5" s="75">
        <v>42924</v>
      </c>
      <c r="C5" s="75">
        <v>42924</v>
      </c>
      <c r="D5" s="13" t="s">
        <v>169</v>
      </c>
      <c r="E5" s="13">
        <v>5</v>
      </c>
      <c r="F5" s="13" t="s">
        <v>97</v>
      </c>
      <c r="G5" s="13" t="s">
        <v>98</v>
      </c>
      <c r="H5" s="13" t="s">
        <v>476</v>
      </c>
      <c r="I5" s="13" t="s">
        <v>477</v>
      </c>
      <c r="J5" s="13">
        <v>6757656757</v>
      </c>
      <c r="L5" s="13" t="s">
        <v>106</v>
      </c>
      <c r="M5" s="13" t="s">
        <v>99</v>
      </c>
      <c r="N5" s="13" t="s">
        <v>104</v>
      </c>
      <c r="O5" s="13" t="s">
        <v>478</v>
      </c>
      <c r="P5" s="13">
        <v>2</v>
      </c>
      <c r="Q5" s="13">
        <v>80</v>
      </c>
      <c r="R5" s="13">
        <v>0</v>
      </c>
      <c r="S5" s="13">
        <v>0</v>
      </c>
      <c r="T5" s="13">
        <v>1</v>
      </c>
      <c r="U5" s="13">
        <v>40</v>
      </c>
      <c r="V5" s="13">
        <v>0</v>
      </c>
      <c r="W5" s="13">
        <v>0</v>
      </c>
      <c r="X5" s="13">
        <v>10</v>
      </c>
      <c r="Y5" s="13">
        <v>200</v>
      </c>
    </row>
    <row r="6" spans="1:25" x14ac:dyDescent="0.25">
      <c r="A6" s="74">
        <v>5</v>
      </c>
      <c r="B6" s="75">
        <v>42924</v>
      </c>
      <c r="C6" s="75">
        <v>42955</v>
      </c>
      <c r="D6" s="13" t="s">
        <v>169</v>
      </c>
      <c r="E6" s="13">
        <v>1</v>
      </c>
      <c r="F6" s="13" t="s">
        <v>97</v>
      </c>
      <c r="G6" s="13" t="s">
        <v>98</v>
      </c>
      <c r="H6" s="13" t="s">
        <v>480</v>
      </c>
      <c r="I6" s="13" t="s">
        <v>481</v>
      </c>
      <c r="J6" s="13" t="s">
        <v>482</v>
      </c>
      <c r="L6" s="13" t="s">
        <v>106</v>
      </c>
      <c r="M6" s="13" t="s">
        <v>99</v>
      </c>
      <c r="N6" s="13" t="s">
        <v>108</v>
      </c>
      <c r="P6" s="13">
        <v>1</v>
      </c>
      <c r="Q6" s="13">
        <v>80</v>
      </c>
      <c r="R6" s="13">
        <v>0</v>
      </c>
      <c r="S6" s="13">
        <v>0</v>
      </c>
      <c r="T6" s="13">
        <v>0</v>
      </c>
      <c r="U6" s="13">
        <v>0</v>
      </c>
      <c r="V6" s="13">
        <v>0</v>
      </c>
      <c r="W6" s="13">
        <v>0</v>
      </c>
      <c r="X6" s="13">
        <v>0</v>
      </c>
      <c r="Y6" s="13">
        <v>80</v>
      </c>
    </row>
    <row r="7" spans="1:25" x14ac:dyDescent="0.25">
      <c r="A7" s="74">
        <v>6</v>
      </c>
      <c r="B7" s="75">
        <v>43016</v>
      </c>
      <c r="C7" s="75">
        <v>43077</v>
      </c>
      <c r="D7" s="13" t="s">
        <v>169</v>
      </c>
      <c r="E7" s="13">
        <v>2</v>
      </c>
      <c r="F7" s="13" t="s">
        <v>97</v>
      </c>
      <c r="G7" s="13" t="s">
        <v>98</v>
      </c>
      <c r="H7" s="13" t="s">
        <v>483</v>
      </c>
      <c r="I7" s="13" t="s">
        <v>484</v>
      </c>
      <c r="L7" s="13" t="s">
        <v>485</v>
      </c>
      <c r="M7" s="13" t="s">
        <v>99</v>
      </c>
      <c r="N7" s="13" t="s">
        <v>111</v>
      </c>
      <c r="P7" s="13">
        <v>1</v>
      </c>
      <c r="Q7" s="13" t="s">
        <v>479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3">
        <v>0</v>
      </c>
      <c r="X7" s="13">
        <v>0</v>
      </c>
      <c r="Y7" s="13" t="s">
        <v>471</v>
      </c>
    </row>
    <row r="8" spans="1:25" x14ac:dyDescent="0.25">
      <c r="A8" s="74">
        <v>7</v>
      </c>
      <c r="B8" s="13" t="s">
        <v>486</v>
      </c>
      <c r="C8" s="13" t="s">
        <v>487</v>
      </c>
      <c r="D8" s="13" t="s">
        <v>169</v>
      </c>
      <c r="E8" s="13">
        <v>5</v>
      </c>
      <c r="F8" s="13" t="s">
        <v>97</v>
      </c>
      <c r="G8" s="13" t="s">
        <v>98</v>
      </c>
      <c r="H8" s="13" t="s">
        <v>488</v>
      </c>
      <c r="I8" s="13" t="s">
        <v>489</v>
      </c>
      <c r="J8" s="13" t="s">
        <v>490</v>
      </c>
      <c r="K8" s="13" t="s">
        <v>491</v>
      </c>
      <c r="L8" s="13" t="s">
        <v>106</v>
      </c>
      <c r="M8" s="13" t="s">
        <v>99</v>
      </c>
      <c r="N8" s="13" t="s">
        <v>104</v>
      </c>
      <c r="O8" s="13" t="s">
        <v>492</v>
      </c>
      <c r="P8" s="13">
        <v>3</v>
      </c>
      <c r="Q8" s="13">
        <v>80</v>
      </c>
      <c r="R8" s="13">
        <v>0</v>
      </c>
      <c r="S8" s="13">
        <v>0</v>
      </c>
      <c r="T8" s="13">
        <v>1</v>
      </c>
      <c r="U8" s="13">
        <v>40</v>
      </c>
      <c r="V8" s="13">
        <v>0</v>
      </c>
      <c r="W8" s="13">
        <v>0</v>
      </c>
      <c r="X8" s="13">
        <v>0</v>
      </c>
      <c r="Y8" s="13">
        <v>403</v>
      </c>
    </row>
    <row r="9" spans="1:25" x14ac:dyDescent="0.25">
      <c r="A9" s="74">
        <v>8</v>
      </c>
      <c r="B9" s="13" t="s">
        <v>486</v>
      </c>
      <c r="C9" s="13" t="s">
        <v>487</v>
      </c>
      <c r="D9" s="13" t="s">
        <v>169</v>
      </c>
      <c r="E9" s="13">
        <v>5</v>
      </c>
      <c r="F9" s="13" t="s">
        <v>97</v>
      </c>
      <c r="G9" s="13" t="s">
        <v>98</v>
      </c>
      <c r="H9" s="13" t="s">
        <v>488</v>
      </c>
      <c r="I9" s="13" t="s">
        <v>489</v>
      </c>
      <c r="J9" s="13" t="s">
        <v>490</v>
      </c>
      <c r="K9" s="13" t="s">
        <v>491</v>
      </c>
      <c r="L9" s="13" t="s">
        <v>106</v>
      </c>
      <c r="M9" s="13" t="s">
        <v>99</v>
      </c>
      <c r="N9" s="13" t="s">
        <v>104</v>
      </c>
      <c r="O9" s="13" t="s">
        <v>493</v>
      </c>
      <c r="P9" s="13">
        <v>3</v>
      </c>
      <c r="Q9" s="13">
        <v>80</v>
      </c>
      <c r="R9" s="13">
        <v>0</v>
      </c>
      <c r="S9" s="13">
        <v>0</v>
      </c>
      <c r="T9" s="13">
        <v>1</v>
      </c>
      <c r="U9" s="13">
        <v>40</v>
      </c>
      <c r="V9" s="13">
        <v>0</v>
      </c>
      <c r="W9" s="13">
        <v>0</v>
      </c>
      <c r="X9" s="13">
        <v>4</v>
      </c>
      <c r="Y9" s="13">
        <v>403</v>
      </c>
    </row>
    <row r="10" spans="1:25" x14ac:dyDescent="0.25">
      <c r="A10" s="74">
        <v>9</v>
      </c>
      <c r="B10" s="13" t="s">
        <v>494</v>
      </c>
      <c r="C10" s="13" t="s">
        <v>495</v>
      </c>
      <c r="D10" s="13" t="s">
        <v>169</v>
      </c>
      <c r="E10" s="13">
        <v>2</v>
      </c>
      <c r="F10" s="13" t="s">
        <v>97</v>
      </c>
      <c r="G10" s="13" t="s">
        <v>98</v>
      </c>
      <c r="H10" s="13" t="s">
        <v>496</v>
      </c>
      <c r="I10" s="13" t="s">
        <v>497</v>
      </c>
      <c r="K10" s="13" t="s">
        <v>498</v>
      </c>
      <c r="L10" s="13" t="s">
        <v>485</v>
      </c>
      <c r="M10" s="13" t="s">
        <v>99</v>
      </c>
      <c r="N10" s="13" t="s">
        <v>111</v>
      </c>
      <c r="O10" s="13" t="s">
        <v>499</v>
      </c>
      <c r="P10" s="13">
        <v>2</v>
      </c>
      <c r="Q10" s="13">
        <v>80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0</v>
      </c>
      <c r="Y10" s="13" t="s">
        <v>471</v>
      </c>
    </row>
    <row r="11" spans="1:25" x14ac:dyDescent="0.25">
      <c r="A11" s="74">
        <v>10</v>
      </c>
      <c r="B11" s="75">
        <v>43019</v>
      </c>
      <c r="C11" s="75">
        <v>42928</v>
      </c>
      <c r="D11" s="13" t="s">
        <v>169</v>
      </c>
      <c r="E11" s="13">
        <v>3</v>
      </c>
      <c r="F11" s="13" t="s">
        <v>97</v>
      </c>
      <c r="G11" s="13" t="s">
        <v>98</v>
      </c>
      <c r="H11" s="13" t="s">
        <v>502</v>
      </c>
      <c r="J11" s="13" t="s">
        <v>503</v>
      </c>
      <c r="L11" s="13" t="s">
        <v>106</v>
      </c>
      <c r="N11" s="13" t="s">
        <v>104</v>
      </c>
      <c r="O11" s="13" t="s">
        <v>504</v>
      </c>
      <c r="P11" s="13">
        <v>2</v>
      </c>
      <c r="Q11" s="21">
        <v>956666666666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3">
        <v>0</v>
      </c>
      <c r="X11" s="13">
        <v>0</v>
      </c>
      <c r="Y11" s="13">
        <v>574</v>
      </c>
    </row>
    <row r="12" spans="1:25" x14ac:dyDescent="0.25">
      <c r="A12" s="74">
        <v>11</v>
      </c>
      <c r="B12" s="13" t="s">
        <v>505</v>
      </c>
      <c r="C12" s="75">
        <v>43132</v>
      </c>
      <c r="D12" s="13" t="s">
        <v>169</v>
      </c>
      <c r="E12" s="13">
        <v>2</v>
      </c>
      <c r="F12" s="13" t="s">
        <v>97</v>
      </c>
      <c r="G12" s="13" t="s">
        <v>98</v>
      </c>
      <c r="H12" s="13" t="s">
        <v>506</v>
      </c>
      <c r="L12" s="13" t="s">
        <v>106</v>
      </c>
      <c r="N12" s="13" t="s">
        <v>104</v>
      </c>
      <c r="P12" s="13">
        <v>2</v>
      </c>
      <c r="Q12" s="13">
        <v>150</v>
      </c>
      <c r="R12" s="13">
        <v>0</v>
      </c>
      <c r="S12" s="13">
        <v>0</v>
      </c>
      <c r="T12" s="13">
        <v>1</v>
      </c>
      <c r="U12" s="13">
        <v>75</v>
      </c>
      <c r="V12" s="13">
        <v>0</v>
      </c>
      <c r="W12" s="13">
        <v>0</v>
      </c>
      <c r="X12" s="13">
        <v>0</v>
      </c>
      <c r="Y12" s="13">
        <v>225</v>
      </c>
    </row>
    <row r="13" spans="1:25" x14ac:dyDescent="0.25">
      <c r="A13" s="74">
        <v>12</v>
      </c>
      <c r="B13" s="75">
        <v>42778</v>
      </c>
      <c r="C13" s="75">
        <v>43160</v>
      </c>
      <c r="D13" s="13" t="s">
        <v>169</v>
      </c>
      <c r="E13" s="13">
        <v>7</v>
      </c>
      <c r="F13" s="13" t="s">
        <v>97</v>
      </c>
      <c r="G13" s="13" t="s">
        <v>98</v>
      </c>
      <c r="H13" s="13" t="s">
        <v>507</v>
      </c>
      <c r="K13" s="13" t="s">
        <v>508</v>
      </c>
      <c r="L13" s="13" t="s">
        <v>509</v>
      </c>
      <c r="N13" s="13" t="s">
        <v>104</v>
      </c>
      <c r="O13" s="13" t="s">
        <v>510</v>
      </c>
      <c r="P13" s="13">
        <v>2</v>
      </c>
      <c r="Q13" s="13">
        <v>150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  <c r="Y13" s="13">
        <v>630</v>
      </c>
    </row>
    <row r="14" spans="1:25" x14ac:dyDescent="0.25">
      <c r="A14" s="74">
        <v>13</v>
      </c>
      <c r="B14" s="75">
        <v>42778</v>
      </c>
      <c r="C14" s="75">
        <v>43160</v>
      </c>
      <c r="D14" s="13" t="s">
        <v>169</v>
      </c>
      <c r="E14" s="13">
        <v>7</v>
      </c>
      <c r="F14" s="13" t="s">
        <v>97</v>
      </c>
      <c r="G14" s="13" t="s">
        <v>98</v>
      </c>
      <c r="H14" s="13" t="s">
        <v>511</v>
      </c>
      <c r="K14" s="13" t="s">
        <v>512</v>
      </c>
      <c r="L14" s="13" t="s">
        <v>513</v>
      </c>
      <c r="N14" s="13" t="s">
        <v>104</v>
      </c>
      <c r="O14" s="13" t="s">
        <v>514</v>
      </c>
      <c r="P14" s="13">
        <v>2</v>
      </c>
      <c r="Q14" s="13">
        <v>130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  <c r="X14" s="13">
        <v>0</v>
      </c>
      <c r="Y14" s="13">
        <v>546</v>
      </c>
    </row>
    <row r="15" spans="1:25" x14ac:dyDescent="0.25">
      <c r="A15" s="74">
        <v>14</v>
      </c>
      <c r="B15" s="75">
        <v>43081</v>
      </c>
      <c r="C15" s="13" t="s">
        <v>515</v>
      </c>
      <c r="D15" s="13" t="s">
        <v>169</v>
      </c>
      <c r="E15" s="13">
        <v>4</v>
      </c>
      <c r="F15" s="13" t="s">
        <v>97</v>
      </c>
      <c r="G15" s="13" t="s">
        <v>98</v>
      </c>
      <c r="H15" s="13" t="s">
        <v>516</v>
      </c>
      <c r="J15" s="13" t="s">
        <v>517</v>
      </c>
      <c r="L15" s="13" t="s">
        <v>106</v>
      </c>
      <c r="N15" s="13" t="s">
        <v>111</v>
      </c>
      <c r="O15" s="13" t="s">
        <v>518</v>
      </c>
      <c r="P15" s="13">
        <v>2</v>
      </c>
      <c r="Q15" s="13">
        <v>150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3">
        <v>0</v>
      </c>
      <c r="X15" s="13">
        <v>0</v>
      </c>
      <c r="Y15" s="13">
        <v>360</v>
      </c>
    </row>
    <row r="16" spans="1:25" x14ac:dyDescent="0.25">
      <c r="A16" s="74">
        <v>15</v>
      </c>
      <c r="B16" s="75">
        <v>43081</v>
      </c>
      <c r="C16" s="13" t="s">
        <v>519</v>
      </c>
      <c r="D16" s="13" t="s">
        <v>169</v>
      </c>
      <c r="E16" s="13">
        <v>2</v>
      </c>
      <c r="F16" s="13" t="s">
        <v>97</v>
      </c>
      <c r="G16" s="13" t="s">
        <v>98</v>
      </c>
      <c r="H16" s="13" t="s">
        <v>520</v>
      </c>
      <c r="J16" s="13" t="s">
        <v>521</v>
      </c>
      <c r="K16" s="13" t="s">
        <v>522</v>
      </c>
      <c r="L16" s="13" t="s">
        <v>106</v>
      </c>
      <c r="N16" s="13" t="s">
        <v>104</v>
      </c>
      <c r="P16" s="13">
        <v>2</v>
      </c>
      <c r="Q16" s="13" t="s">
        <v>523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0</v>
      </c>
      <c r="X16" s="13">
        <v>0</v>
      </c>
      <c r="Y16" s="13" t="s">
        <v>524</v>
      </c>
    </row>
    <row r="17" spans="1:25" x14ac:dyDescent="0.25">
      <c r="A17" s="74">
        <v>16</v>
      </c>
      <c r="B17" s="75">
        <v>43081</v>
      </c>
      <c r="C17" s="13" t="s">
        <v>525</v>
      </c>
      <c r="D17" s="13" t="s">
        <v>169</v>
      </c>
      <c r="E17" s="13">
        <v>3</v>
      </c>
      <c r="F17" s="13" t="s">
        <v>97</v>
      </c>
      <c r="G17" s="13" t="s">
        <v>98</v>
      </c>
      <c r="H17" s="13" t="s">
        <v>526</v>
      </c>
      <c r="J17" s="13" t="s">
        <v>527</v>
      </c>
      <c r="K17" s="13" t="s">
        <v>528</v>
      </c>
      <c r="L17" s="13" t="s">
        <v>106</v>
      </c>
      <c r="N17" s="13" t="s">
        <v>104</v>
      </c>
      <c r="P17" s="13">
        <v>2</v>
      </c>
      <c r="Q17" s="13">
        <v>87</v>
      </c>
      <c r="R17" s="13">
        <v>0</v>
      </c>
      <c r="S17" s="13">
        <v>0</v>
      </c>
      <c r="T17" s="13">
        <v>0</v>
      </c>
      <c r="U17" s="13">
        <v>0</v>
      </c>
      <c r="V17" s="13">
        <v>0</v>
      </c>
      <c r="W17" s="13">
        <v>0</v>
      </c>
      <c r="X17" s="13">
        <v>0</v>
      </c>
      <c r="Y17" s="13" t="s">
        <v>529</v>
      </c>
    </row>
    <row r="18" spans="1:25" x14ac:dyDescent="0.25">
      <c r="A18" s="74">
        <v>17</v>
      </c>
      <c r="B18" s="13" t="s">
        <v>530</v>
      </c>
      <c r="C18" s="75">
        <v>42856</v>
      </c>
      <c r="D18" s="13" t="s">
        <v>169</v>
      </c>
      <c r="E18" s="13">
        <v>2</v>
      </c>
      <c r="F18" s="13" t="s">
        <v>97</v>
      </c>
      <c r="G18" s="13" t="s">
        <v>98</v>
      </c>
      <c r="H18" s="13" t="s">
        <v>531</v>
      </c>
      <c r="J18" s="13" t="s">
        <v>532</v>
      </c>
      <c r="K18" s="13" t="s">
        <v>533</v>
      </c>
      <c r="L18" s="13" t="s">
        <v>106</v>
      </c>
      <c r="N18" s="13" t="s">
        <v>111</v>
      </c>
      <c r="O18" s="13" t="s">
        <v>534</v>
      </c>
      <c r="P18" s="13">
        <v>2</v>
      </c>
      <c r="Q18" s="13">
        <v>150</v>
      </c>
      <c r="R18" s="13">
        <v>0</v>
      </c>
      <c r="S18" s="13">
        <v>0</v>
      </c>
      <c r="T18" s="13">
        <v>0</v>
      </c>
      <c r="U18" s="13">
        <v>0</v>
      </c>
      <c r="V18" s="13">
        <v>1</v>
      </c>
      <c r="W18" s="13" t="s">
        <v>535</v>
      </c>
      <c r="X18" s="13">
        <v>0</v>
      </c>
      <c r="Y18" s="13" t="s">
        <v>536</v>
      </c>
    </row>
    <row r="19" spans="1:25" x14ac:dyDescent="0.25">
      <c r="A19" s="74">
        <v>18</v>
      </c>
      <c r="B19" s="75">
        <v>43252</v>
      </c>
      <c r="C19" s="75">
        <v>43222</v>
      </c>
      <c r="D19" s="13" t="s">
        <v>169</v>
      </c>
      <c r="E19" s="13">
        <v>4</v>
      </c>
      <c r="F19" s="13" t="s">
        <v>97</v>
      </c>
      <c r="G19" s="13" t="s">
        <v>98</v>
      </c>
      <c r="H19" s="13" t="s">
        <v>538</v>
      </c>
      <c r="I19" s="13" t="s">
        <v>539</v>
      </c>
      <c r="J19" s="13" t="s">
        <v>540</v>
      </c>
      <c r="K19" s="13" t="s">
        <v>541</v>
      </c>
      <c r="L19" s="13" t="s">
        <v>106</v>
      </c>
      <c r="O19" s="13" t="s">
        <v>542</v>
      </c>
      <c r="P19" s="13">
        <v>2</v>
      </c>
      <c r="Q19" s="13">
        <v>87</v>
      </c>
      <c r="R19" s="13">
        <v>0</v>
      </c>
      <c r="S19" s="13">
        <v>0</v>
      </c>
      <c r="T19" s="13">
        <v>0</v>
      </c>
      <c r="U19" s="13">
        <v>0</v>
      </c>
      <c r="V19" s="13">
        <v>1</v>
      </c>
      <c r="W19" s="13">
        <v>65</v>
      </c>
      <c r="X19" s="13">
        <v>0</v>
      </c>
      <c r="Y19" s="13">
        <v>288</v>
      </c>
    </row>
    <row r="20" spans="1:25" x14ac:dyDescent="0.25">
      <c r="A20" s="74">
        <v>19</v>
      </c>
      <c r="B20" s="13" t="s">
        <v>543</v>
      </c>
      <c r="C20" s="13" t="s">
        <v>544</v>
      </c>
      <c r="D20" s="13" t="s">
        <v>169</v>
      </c>
      <c r="E20" s="13">
        <v>2</v>
      </c>
      <c r="F20" s="13" t="s">
        <v>97</v>
      </c>
      <c r="G20" s="13" t="s">
        <v>98</v>
      </c>
      <c r="H20" s="13" t="s">
        <v>545</v>
      </c>
      <c r="J20" s="13" t="s">
        <v>546</v>
      </c>
      <c r="L20" s="13" t="s">
        <v>106</v>
      </c>
      <c r="O20" s="13" t="s">
        <v>547</v>
      </c>
      <c r="P20" s="13">
        <v>2</v>
      </c>
      <c r="Q20" s="13">
        <v>150</v>
      </c>
      <c r="R20" s="13">
        <v>0</v>
      </c>
      <c r="S20" s="13">
        <v>0</v>
      </c>
      <c r="T20" s="13">
        <v>0</v>
      </c>
      <c r="U20" s="13">
        <v>0</v>
      </c>
      <c r="V20" s="13">
        <v>1</v>
      </c>
      <c r="W20" s="13">
        <v>113</v>
      </c>
      <c r="X20" s="13">
        <v>0</v>
      </c>
      <c r="Y20" s="13">
        <v>300</v>
      </c>
    </row>
    <row r="21" spans="1:25" x14ac:dyDescent="0.25">
      <c r="A21" s="74">
        <v>20</v>
      </c>
      <c r="B21" s="13" t="s">
        <v>548</v>
      </c>
      <c r="C21" s="13" t="s">
        <v>549</v>
      </c>
      <c r="D21" s="13" t="s">
        <v>169</v>
      </c>
      <c r="E21" s="13">
        <v>3</v>
      </c>
      <c r="F21" s="13" t="s">
        <v>97</v>
      </c>
      <c r="G21" s="13" t="s">
        <v>98</v>
      </c>
      <c r="H21" s="13" t="s">
        <v>550</v>
      </c>
      <c r="J21" s="13" t="s">
        <v>551</v>
      </c>
      <c r="L21" s="13" t="s">
        <v>106</v>
      </c>
      <c r="N21" s="13" t="s">
        <v>104</v>
      </c>
      <c r="P21" s="13">
        <v>2</v>
      </c>
      <c r="Q21" s="13" t="s">
        <v>552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190</v>
      </c>
    </row>
    <row r="22" spans="1:25" x14ac:dyDescent="0.25">
      <c r="A22" s="74">
        <v>21</v>
      </c>
      <c r="B22" s="13" t="s">
        <v>553</v>
      </c>
      <c r="C22" s="13" t="s">
        <v>555</v>
      </c>
      <c r="D22" s="13" t="s">
        <v>169</v>
      </c>
      <c r="E22" s="13">
        <v>2</v>
      </c>
      <c r="F22" s="13" t="s">
        <v>97</v>
      </c>
      <c r="G22" s="13" t="s">
        <v>98</v>
      </c>
      <c r="H22" s="13" t="s">
        <v>556</v>
      </c>
      <c r="J22" s="13" t="s">
        <v>557</v>
      </c>
      <c r="L22" s="13" t="s">
        <v>106</v>
      </c>
      <c r="N22" s="13" t="s">
        <v>111</v>
      </c>
      <c r="O22" s="13" t="s">
        <v>558</v>
      </c>
      <c r="P22" s="13">
        <v>6</v>
      </c>
      <c r="Q22" s="13">
        <v>100</v>
      </c>
      <c r="R22" s="13">
        <v>0</v>
      </c>
      <c r="S22" s="13">
        <v>0</v>
      </c>
      <c r="T22" s="13">
        <v>1</v>
      </c>
      <c r="U22" s="13">
        <v>50</v>
      </c>
      <c r="V22" s="13">
        <v>0</v>
      </c>
      <c r="W22" s="13">
        <v>0</v>
      </c>
      <c r="X22" s="13">
        <v>0</v>
      </c>
      <c r="Y22" s="13">
        <v>390</v>
      </c>
    </row>
    <row r="23" spans="1:25" x14ac:dyDescent="0.25">
      <c r="A23" s="74">
        <v>22</v>
      </c>
      <c r="B23" s="13" t="s">
        <v>553</v>
      </c>
      <c r="C23" s="75">
        <v>43133</v>
      </c>
      <c r="D23" s="13" t="s">
        <v>169</v>
      </c>
      <c r="E23" s="13">
        <v>2</v>
      </c>
      <c r="F23" s="13" t="s">
        <v>97</v>
      </c>
      <c r="G23" s="13" t="s">
        <v>98</v>
      </c>
      <c r="H23" s="13" t="s">
        <v>559</v>
      </c>
      <c r="J23" s="13" t="s">
        <v>560</v>
      </c>
      <c r="L23" s="13" t="s">
        <v>106</v>
      </c>
      <c r="O23" s="13" t="s">
        <v>561</v>
      </c>
      <c r="P23" s="13">
        <v>2</v>
      </c>
      <c r="Q23" s="13">
        <v>100</v>
      </c>
      <c r="R23" s="13">
        <v>0</v>
      </c>
      <c r="S23" s="13">
        <v>0</v>
      </c>
      <c r="T23" s="13">
        <v>1</v>
      </c>
      <c r="U23" s="13">
        <v>50</v>
      </c>
      <c r="V23" s="13">
        <v>0</v>
      </c>
      <c r="W23" s="13">
        <v>0</v>
      </c>
      <c r="X23" s="13">
        <v>0</v>
      </c>
      <c r="Y23" s="13">
        <v>150</v>
      </c>
    </row>
    <row r="24" spans="1:25" x14ac:dyDescent="0.25">
      <c r="A24" s="74">
        <v>23</v>
      </c>
      <c r="B24" s="75">
        <v>43102</v>
      </c>
      <c r="C24" s="75">
        <v>43133</v>
      </c>
      <c r="D24" s="13" t="s">
        <v>169</v>
      </c>
      <c r="E24" s="13">
        <v>2</v>
      </c>
      <c r="F24" s="13" t="s">
        <v>97</v>
      </c>
      <c r="G24" s="13" t="s">
        <v>98</v>
      </c>
      <c r="H24" s="13" t="s">
        <v>562</v>
      </c>
      <c r="J24" s="13" t="s">
        <v>563</v>
      </c>
      <c r="K24" s="13" t="s">
        <v>564</v>
      </c>
      <c r="L24" s="13" t="s">
        <v>106</v>
      </c>
      <c r="N24" s="13" t="s">
        <v>111</v>
      </c>
      <c r="O24" s="13" t="s">
        <v>565</v>
      </c>
      <c r="P24" s="13">
        <v>2</v>
      </c>
      <c r="Q24" s="13">
        <v>100</v>
      </c>
      <c r="R24" s="13">
        <v>0</v>
      </c>
      <c r="S24" s="13">
        <v>0</v>
      </c>
      <c r="T24" s="13">
        <v>0</v>
      </c>
      <c r="U24" s="13">
        <v>0</v>
      </c>
      <c r="V24" s="13">
        <v>0</v>
      </c>
      <c r="W24" s="13">
        <v>0</v>
      </c>
      <c r="X24" s="13">
        <v>0</v>
      </c>
      <c r="Y24" s="13">
        <v>120</v>
      </c>
    </row>
    <row r="25" spans="1:25" x14ac:dyDescent="0.25">
      <c r="A25" s="74">
        <v>24</v>
      </c>
      <c r="B25" s="75">
        <v>43102</v>
      </c>
      <c r="C25" s="75">
        <v>43345</v>
      </c>
      <c r="D25" s="13" t="s">
        <v>169</v>
      </c>
      <c r="E25" s="13">
        <v>4</v>
      </c>
      <c r="F25" s="13" t="s">
        <v>97</v>
      </c>
      <c r="G25" s="13" t="s">
        <v>98</v>
      </c>
      <c r="H25" s="13" t="s">
        <v>566</v>
      </c>
      <c r="J25" s="13" t="s">
        <v>567</v>
      </c>
      <c r="L25" s="13" t="s">
        <v>106</v>
      </c>
      <c r="N25" s="13" t="s">
        <v>111</v>
      </c>
      <c r="P25" s="13">
        <v>2</v>
      </c>
      <c r="Q25" s="13">
        <v>125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300</v>
      </c>
    </row>
    <row r="26" spans="1:25" x14ac:dyDescent="0.25">
      <c r="A26" s="74">
        <v>25</v>
      </c>
      <c r="B26" s="13" t="s">
        <v>568</v>
      </c>
      <c r="C26" s="13" t="s">
        <v>568</v>
      </c>
      <c r="D26" s="13" t="s">
        <v>169</v>
      </c>
      <c r="E26" s="13">
        <v>4</v>
      </c>
      <c r="F26" s="13" t="s">
        <v>569</v>
      </c>
      <c r="H26" s="13" t="s">
        <v>570</v>
      </c>
      <c r="J26" s="13" t="s">
        <v>571</v>
      </c>
      <c r="L26" s="13" t="s">
        <v>572</v>
      </c>
      <c r="P26" s="13">
        <v>1</v>
      </c>
      <c r="Q26" s="13" t="s">
        <v>573</v>
      </c>
      <c r="R26" s="13">
        <v>0</v>
      </c>
      <c r="S26" s="13">
        <v>0</v>
      </c>
      <c r="T26" s="13">
        <v>0</v>
      </c>
      <c r="U26" s="13">
        <v>0</v>
      </c>
      <c r="V26" s="13">
        <v>0</v>
      </c>
      <c r="W26" s="13">
        <v>0</v>
      </c>
      <c r="X26" s="13">
        <v>0</v>
      </c>
      <c r="Y26" s="13" t="s">
        <v>471</v>
      </c>
    </row>
    <row r="27" spans="1:25" x14ac:dyDescent="0.25">
      <c r="A27" s="74">
        <v>26</v>
      </c>
      <c r="B27" s="13" t="s">
        <v>568</v>
      </c>
      <c r="C27" s="75">
        <v>43409</v>
      </c>
      <c r="D27" s="13" t="s">
        <v>169</v>
      </c>
      <c r="E27" s="13">
        <v>4</v>
      </c>
      <c r="F27" s="13" t="s">
        <v>97</v>
      </c>
      <c r="G27" s="13" t="s">
        <v>98</v>
      </c>
      <c r="H27" s="13" t="s">
        <v>574</v>
      </c>
      <c r="I27" s="13" t="s">
        <v>575</v>
      </c>
      <c r="J27" s="13" t="s">
        <v>576</v>
      </c>
      <c r="L27" s="13" t="s">
        <v>572</v>
      </c>
      <c r="M27" s="13" t="s">
        <v>99</v>
      </c>
      <c r="N27" s="13" t="s">
        <v>111</v>
      </c>
      <c r="O27" s="13" t="s">
        <v>577</v>
      </c>
      <c r="P27" s="13">
        <v>2</v>
      </c>
      <c r="Q27" s="13" t="s">
        <v>479</v>
      </c>
      <c r="R27" s="13">
        <v>0</v>
      </c>
      <c r="S27" s="13">
        <v>0</v>
      </c>
      <c r="T27" s="13">
        <v>0</v>
      </c>
      <c r="U27" s="13">
        <v>0</v>
      </c>
      <c r="V27" s="13">
        <v>0</v>
      </c>
      <c r="W27" s="13">
        <v>0</v>
      </c>
      <c r="X27" s="13">
        <v>0</v>
      </c>
      <c r="Y27" s="13" t="s">
        <v>578</v>
      </c>
    </row>
    <row r="28" spans="1:25" x14ac:dyDescent="0.25">
      <c r="A28" s="74">
        <v>27</v>
      </c>
      <c r="B28" s="13" t="s">
        <v>568</v>
      </c>
      <c r="C28" s="75">
        <v>43409</v>
      </c>
      <c r="D28" s="13" t="s">
        <v>169</v>
      </c>
      <c r="E28" s="13">
        <v>4</v>
      </c>
      <c r="H28" s="13" t="s">
        <v>574</v>
      </c>
      <c r="I28" s="13" t="s">
        <v>575</v>
      </c>
      <c r="J28" s="13" t="s">
        <v>576</v>
      </c>
      <c r="L28" s="13" t="s">
        <v>572</v>
      </c>
      <c r="O28" s="13" t="s">
        <v>577</v>
      </c>
      <c r="P28" s="13">
        <v>2</v>
      </c>
      <c r="Q28" s="13" t="s">
        <v>579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  <c r="Y28" s="13" t="s">
        <v>578</v>
      </c>
    </row>
    <row r="29" spans="1:25" x14ac:dyDescent="0.25">
      <c r="A29" s="74">
        <v>28</v>
      </c>
      <c r="B29" s="13" t="s">
        <v>580</v>
      </c>
      <c r="C29" s="13" t="s">
        <v>581</v>
      </c>
      <c r="D29" s="13" t="s">
        <v>169</v>
      </c>
      <c r="E29" s="13">
        <v>1</v>
      </c>
      <c r="F29" s="13" t="s">
        <v>97</v>
      </c>
      <c r="G29" s="13" t="s">
        <v>98</v>
      </c>
      <c r="H29" s="13" t="s">
        <v>582</v>
      </c>
      <c r="I29" s="13" t="s">
        <v>583</v>
      </c>
      <c r="J29" s="13" t="s">
        <v>584</v>
      </c>
      <c r="L29" s="13" t="s">
        <v>585</v>
      </c>
      <c r="M29" s="13" t="s">
        <v>99</v>
      </c>
      <c r="N29" s="13" t="s">
        <v>104</v>
      </c>
      <c r="P29" s="13">
        <v>1</v>
      </c>
      <c r="Q29" s="13" t="s">
        <v>573</v>
      </c>
      <c r="R29" s="13">
        <v>0</v>
      </c>
      <c r="S29" s="13">
        <v>0</v>
      </c>
      <c r="T29" s="13">
        <v>0</v>
      </c>
      <c r="U29" s="13">
        <v>0</v>
      </c>
      <c r="V29" s="13">
        <v>0</v>
      </c>
      <c r="W29" s="13">
        <v>0</v>
      </c>
      <c r="X29" s="13">
        <v>0</v>
      </c>
      <c r="Y29" s="13" t="s">
        <v>573</v>
      </c>
    </row>
    <row r="30" spans="1:25" x14ac:dyDescent="0.25">
      <c r="A30" s="74">
        <v>29</v>
      </c>
      <c r="B30" s="13" t="s">
        <v>580</v>
      </c>
      <c r="C30" s="13" t="s">
        <v>586</v>
      </c>
      <c r="D30" s="13" t="s">
        <v>169</v>
      </c>
      <c r="E30" s="13">
        <v>2</v>
      </c>
      <c r="F30" s="13" t="s">
        <v>97</v>
      </c>
      <c r="G30" s="13" t="s">
        <v>98</v>
      </c>
      <c r="H30" s="13" t="s">
        <v>587</v>
      </c>
      <c r="I30" s="13" t="s">
        <v>588</v>
      </c>
      <c r="J30" s="13" t="s">
        <v>589</v>
      </c>
      <c r="L30" s="13" t="s">
        <v>572</v>
      </c>
      <c r="M30" s="13" t="s">
        <v>107</v>
      </c>
      <c r="N30" s="13" t="s">
        <v>104</v>
      </c>
      <c r="P30" s="13">
        <v>2</v>
      </c>
      <c r="Q30" s="13" t="s">
        <v>479</v>
      </c>
      <c r="R30" s="13">
        <v>0</v>
      </c>
      <c r="S30" s="13">
        <v>0</v>
      </c>
      <c r="T30" s="13">
        <v>0</v>
      </c>
      <c r="U30" s="13">
        <v>0</v>
      </c>
      <c r="V30" s="13">
        <v>0</v>
      </c>
      <c r="W30" s="13">
        <v>0</v>
      </c>
      <c r="X30" s="13">
        <v>0</v>
      </c>
      <c r="Y30" s="13" t="s">
        <v>590</v>
      </c>
    </row>
    <row r="31" spans="1:25" x14ac:dyDescent="0.25">
      <c r="A31" s="74">
        <v>30</v>
      </c>
      <c r="B31" s="13" t="s">
        <v>580</v>
      </c>
      <c r="C31" s="13" t="s">
        <v>586</v>
      </c>
      <c r="D31" s="13" t="s">
        <v>169</v>
      </c>
      <c r="E31" s="13">
        <v>2</v>
      </c>
      <c r="H31" s="13" t="s">
        <v>587</v>
      </c>
      <c r="I31" s="13" t="s">
        <v>588</v>
      </c>
      <c r="J31" s="13" t="s">
        <v>589</v>
      </c>
      <c r="L31" s="13" t="s">
        <v>572</v>
      </c>
      <c r="O31" s="13" t="s">
        <v>591</v>
      </c>
      <c r="P31" s="13">
        <v>2</v>
      </c>
      <c r="Q31" s="13" t="s">
        <v>479</v>
      </c>
      <c r="R31" s="13">
        <v>0</v>
      </c>
      <c r="S31" s="13">
        <v>0</v>
      </c>
      <c r="T31" s="13">
        <v>0</v>
      </c>
      <c r="U31" s="13">
        <v>0</v>
      </c>
      <c r="V31" s="13">
        <v>0</v>
      </c>
      <c r="W31" s="13">
        <v>0</v>
      </c>
      <c r="X31" s="13">
        <v>0</v>
      </c>
      <c r="Y31" s="13" t="s">
        <v>590</v>
      </c>
    </row>
    <row r="32" spans="1:25" x14ac:dyDescent="0.25">
      <c r="A32" s="74">
        <v>31</v>
      </c>
      <c r="B32" s="13" t="s">
        <v>580</v>
      </c>
      <c r="C32" s="13" t="s">
        <v>580</v>
      </c>
      <c r="D32" s="13" t="s">
        <v>169</v>
      </c>
      <c r="E32" s="13">
        <v>1</v>
      </c>
      <c r="F32" s="13" t="s">
        <v>97</v>
      </c>
      <c r="G32" s="13" t="s">
        <v>98</v>
      </c>
      <c r="H32" s="13" t="s">
        <v>592</v>
      </c>
      <c r="I32" s="13" t="s">
        <v>593</v>
      </c>
      <c r="J32" s="13" t="s">
        <v>594</v>
      </c>
      <c r="L32" s="13" t="s">
        <v>572</v>
      </c>
      <c r="M32" s="13" t="s">
        <v>99</v>
      </c>
      <c r="N32" s="13" t="s">
        <v>104</v>
      </c>
      <c r="P32" s="13">
        <v>2</v>
      </c>
      <c r="Q32" s="13" t="s">
        <v>573</v>
      </c>
      <c r="R32" s="13">
        <v>0</v>
      </c>
      <c r="S32" s="13">
        <v>0</v>
      </c>
      <c r="T32" s="13">
        <v>0</v>
      </c>
      <c r="U32" s="13">
        <v>0</v>
      </c>
      <c r="V32" s="13">
        <v>0</v>
      </c>
      <c r="W32" s="13">
        <v>0</v>
      </c>
      <c r="X32" s="13">
        <v>0</v>
      </c>
      <c r="Y32" s="13" t="s">
        <v>595</v>
      </c>
    </row>
    <row r="33" spans="1:25" x14ac:dyDescent="0.25">
      <c r="A33" s="74">
        <v>32</v>
      </c>
      <c r="B33" s="13" t="s">
        <v>580</v>
      </c>
      <c r="C33" s="13" t="s">
        <v>586</v>
      </c>
      <c r="D33" s="13" t="s">
        <v>169</v>
      </c>
      <c r="E33" s="13">
        <v>2</v>
      </c>
      <c r="F33" s="13" t="s">
        <v>97</v>
      </c>
      <c r="G33" s="13" t="s">
        <v>98</v>
      </c>
      <c r="H33" s="13" t="s">
        <v>596</v>
      </c>
      <c r="I33" s="13" t="s">
        <v>597</v>
      </c>
      <c r="J33" s="13" t="s">
        <v>598</v>
      </c>
      <c r="K33" s="13" t="s">
        <v>599</v>
      </c>
      <c r="L33" s="13" t="s">
        <v>572</v>
      </c>
      <c r="M33" s="13" t="s">
        <v>107</v>
      </c>
      <c r="N33" s="13" t="s">
        <v>104</v>
      </c>
      <c r="O33" s="13" t="s">
        <v>600</v>
      </c>
      <c r="P33" s="13">
        <v>3</v>
      </c>
      <c r="Q33" s="13" t="s">
        <v>601</v>
      </c>
      <c r="R33" s="13">
        <v>0</v>
      </c>
      <c r="S33" s="13">
        <v>0</v>
      </c>
      <c r="T33" s="13">
        <v>0</v>
      </c>
      <c r="U33" s="13">
        <v>0</v>
      </c>
      <c r="V33" s="13">
        <v>0</v>
      </c>
      <c r="W33" s="13">
        <v>0</v>
      </c>
      <c r="X33" s="13">
        <v>0</v>
      </c>
      <c r="Y33" s="13" t="s">
        <v>602</v>
      </c>
    </row>
    <row r="34" spans="1:25" x14ac:dyDescent="0.25">
      <c r="A34" s="74">
        <v>33</v>
      </c>
      <c r="B34" s="13" t="s">
        <v>581</v>
      </c>
      <c r="C34" s="13" t="s">
        <v>586</v>
      </c>
      <c r="D34" s="13" t="s">
        <v>169</v>
      </c>
      <c r="E34" s="13">
        <v>2</v>
      </c>
      <c r="F34" s="13" t="s">
        <v>97</v>
      </c>
      <c r="G34" s="13" t="s">
        <v>98</v>
      </c>
      <c r="L34" s="13" t="s">
        <v>106</v>
      </c>
      <c r="M34" s="13" t="s">
        <v>107</v>
      </c>
      <c r="N34" s="13" t="s">
        <v>104</v>
      </c>
      <c r="P34" s="13">
        <v>2</v>
      </c>
      <c r="Q34" s="13">
        <v>75</v>
      </c>
      <c r="R34" s="13">
        <v>0</v>
      </c>
      <c r="S34" s="13">
        <v>0</v>
      </c>
      <c r="T34" s="13">
        <v>0</v>
      </c>
      <c r="U34" s="13">
        <v>0</v>
      </c>
      <c r="V34" s="13">
        <v>0</v>
      </c>
      <c r="W34" s="13">
        <v>0</v>
      </c>
      <c r="X34" s="13">
        <v>0</v>
      </c>
      <c r="Y34" s="13" t="s">
        <v>471</v>
      </c>
    </row>
    <row r="35" spans="1:25" x14ac:dyDescent="0.25">
      <c r="A35" s="74">
        <v>34</v>
      </c>
      <c r="B35" s="75">
        <v>43256</v>
      </c>
      <c r="C35" s="75">
        <v>43286</v>
      </c>
      <c r="D35" s="13" t="s">
        <v>169</v>
      </c>
      <c r="E35" s="13">
        <v>2</v>
      </c>
      <c r="F35" s="13" t="s">
        <v>97</v>
      </c>
      <c r="G35" s="13" t="s">
        <v>98</v>
      </c>
      <c r="H35" s="13" t="s">
        <v>603</v>
      </c>
      <c r="J35" s="13" t="s">
        <v>604</v>
      </c>
      <c r="L35" s="13" t="s">
        <v>106</v>
      </c>
      <c r="N35" s="13" t="s">
        <v>104</v>
      </c>
      <c r="P35" s="13">
        <v>1</v>
      </c>
      <c r="Q35" s="13">
        <v>70</v>
      </c>
      <c r="R35" s="13">
        <v>0</v>
      </c>
      <c r="S35" s="13">
        <v>0</v>
      </c>
      <c r="T35" s="13">
        <v>0</v>
      </c>
      <c r="U35" s="13">
        <v>0</v>
      </c>
      <c r="V35" s="13">
        <v>0</v>
      </c>
      <c r="W35" s="13">
        <v>0</v>
      </c>
      <c r="X35" s="13">
        <v>0</v>
      </c>
      <c r="Y35" s="13">
        <v>42</v>
      </c>
    </row>
    <row r="36" spans="1:25" x14ac:dyDescent="0.25">
      <c r="A36" s="74">
        <v>35</v>
      </c>
      <c r="B36" s="75">
        <v>43348</v>
      </c>
      <c r="C36" s="13" t="s">
        <v>605</v>
      </c>
      <c r="D36" s="13" t="s">
        <v>169</v>
      </c>
      <c r="E36" s="13">
        <v>4</v>
      </c>
      <c r="F36" s="13" t="s">
        <v>97</v>
      </c>
      <c r="G36" s="13" t="s">
        <v>606</v>
      </c>
      <c r="H36" s="13" t="s">
        <v>607</v>
      </c>
      <c r="J36" s="13" t="s">
        <v>537</v>
      </c>
      <c r="L36" s="13" t="s">
        <v>106</v>
      </c>
      <c r="N36" s="13" t="s">
        <v>104</v>
      </c>
      <c r="O36" s="13" t="s">
        <v>608</v>
      </c>
      <c r="P36" s="13">
        <v>2</v>
      </c>
      <c r="Q36" s="13">
        <v>80</v>
      </c>
      <c r="R36" s="13">
        <v>0</v>
      </c>
      <c r="S36" s="13">
        <v>0</v>
      </c>
      <c r="T36" s="13">
        <v>1</v>
      </c>
      <c r="U36" s="13">
        <v>40</v>
      </c>
      <c r="V36" s="13">
        <v>0</v>
      </c>
      <c r="W36" s="13">
        <v>0</v>
      </c>
      <c r="X36" s="13">
        <v>10</v>
      </c>
      <c r="Y36" s="13">
        <v>720</v>
      </c>
    </row>
    <row r="37" spans="1:25" x14ac:dyDescent="0.25">
      <c r="A37" s="74">
        <v>36</v>
      </c>
      <c r="B37" s="13" t="s">
        <v>609</v>
      </c>
      <c r="C37" s="13" t="s">
        <v>610</v>
      </c>
      <c r="D37" s="13" t="s">
        <v>169</v>
      </c>
      <c r="E37" s="13">
        <v>1</v>
      </c>
      <c r="F37" s="13" t="s">
        <v>97</v>
      </c>
      <c r="G37" s="13" t="s">
        <v>102</v>
      </c>
      <c r="H37" s="13" t="s">
        <v>611</v>
      </c>
      <c r="L37" s="13" t="s">
        <v>106</v>
      </c>
      <c r="P37" s="13">
        <v>1</v>
      </c>
      <c r="Q37" s="13">
        <v>70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 t="s">
        <v>471</v>
      </c>
    </row>
    <row r="38" spans="1:25" x14ac:dyDescent="0.25">
      <c r="A38" s="74">
        <v>37</v>
      </c>
      <c r="B38" s="75">
        <v>43410</v>
      </c>
      <c r="C38" s="13" t="s">
        <v>612</v>
      </c>
      <c r="D38" s="13" t="s">
        <v>169</v>
      </c>
      <c r="E38" s="13">
        <v>1</v>
      </c>
      <c r="F38" s="13" t="s">
        <v>97</v>
      </c>
      <c r="G38" s="13" t="s">
        <v>98</v>
      </c>
      <c r="H38" s="13" t="s">
        <v>613</v>
      </c>
      <c r="J38" s="13" t="s">
        <v>614</v>
      </c>
      <c r="L38" s="13" t="s">
        <v>106</v>
      </c>
      <c r="N38" s="13" t="s">
        <v>111</v>
      </c>
      <c r="O38" s="13" t="s">
        <v>615</v>
      </c>
      <c r="P38" s="13">
        <v>2</v>
      </c>
      <c r="Q38" s="13">
        <v>70</v>
      </c>
      <c r="R38" s="13">
        <v>0</v>
      </c>
      <c r="S38" s="13">
        <v>0</v>
      </c>
      <c r="T38" s="13">
        <v>0</v>
      </c>
      <c r="U38" s="13">
        <v>0</v>
      </c>
      <c r="V38" s="13">
        <v>0</v>
      </c>
      <c r="W38" s="13">
        <v>0</v>
      </c>
      <c r="X38" s="13">
        <v>0</v>
      </c>
      <c r="Y38" s="13">
        <v>140</v>
      </c>
    </row>
    <row r="39" spans="1:25" x14ac:dyDescent="0.25">
      <c r="A39" s="74">
        <v>38</v>
      </c>
      <c r="B39" s="75">
        <v>43410</v>
      </c>
      <c r="C39" s="13" t="s">
        <v>616</v>
      </c>
      <c r="D39" s="13" t="s">
        <v>169</v>
      </c>
      <c r="E39" s="13">
        <v>3</v>
      </c>
      <c r="F39" s="13" t="s">
        <v>97</v>
      </c>
      <c r="G39" s="13" t="s">
        <v>98</v>
      </c>
      <c r="H39" s="13" t="s">
        <v>617</v>
      </c>
      <c r="J39" s="13" t="s">
        <v>618</v>
      </c>
      <c r="L39" s="13" t="s">
        <v>106</v>
      </c>
      <c r="M39" s="13" t="s">
        <v>99</v>
      </c>
      <c r="N39" s="13" t="s">
        <v>104</v>
      </c>
      <c r="P39" s="13">
        <v>2</v>
      </c>
      <c r="Q39" s="13">
        <v>70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0</v>
      </c>
      <c r="Y39" s="13">
        <v>0</v>
      </c>
    </row>
    <row r="40" spans="1:25" x14ac:dyDescent="0.25">
      <c r="A40" s="74">
        <v>39</v>
      </c>
      <c r="B40" s="13" t="s">
        <v>619</v>
      </c>
      <c r="C40" s="75">
        <v>43258</v>
      </c>
      <c r="D40" s="13" t="s">
        <v>169</v>
      </c>
      <c r="E40" s="13">
        <v>3</v>
      </c>
      <c r="F40" s="13" t="s">
        <v>97</v>
      </c>
      <c r="G40" s="13" t="s">
        <v>98</v>
      </c>
      <c r="H40" s="13" t="s">
        <v>620</v>
      </c>
      <c r="J40" s="13" t="s">
        <v>621</v>
      </c>
      <c r="K40" s="13" t="s">
        <v>622</v>
      </c>
      <c r="L40" s="13" t="s">
        <v>106</v>
      </c>
      <c r="M40" s="13" t="s">
        <v>107</v>
      </c>
      <c r="N40" s="13" t="s">
        <v>104</v>
      </c>
      <c r="P40" s="13">
        <v>3</v>
      </c>
      <c r="Q40" s="13">
        <v>70</v>
      </c>
      <c r="R40" s="13">
        <v>1</v>
      </c>
      <c r="S40" s="13">
        <v>0</v>
      </c>
      <c r="T40" s="13">
        <v>0</v>
      </c>
      <c r="U40" s="13">
        <v>0</v>
      </c>
      <c r="V40" s="13">
        <v>0</v>
      </c>
      <c r="W40" s="13">
        <v>0</v>
      </c>
      <c r="X40" s="13">
        <v>0</v>
      </c>
      <c r="Y40" s="13">
        <v>630</v>
      </c>
    </row>
    <row r="41" spans="1:25" x14ac:dyDescent="0.25">
      <c r="A41" s="74">
        <v>40</v>
      </c>
      <c r="B41" s="13" t="s">
        <v>624</v>
      </c>
      <c r="C41" s="13" t="s">
        <v>625</v>
      </c>
      <c r="D41" s="13" t="s">
        <v>169</v>
      </c>
      <c r="E41" s="13">
        <v>2</v>
      </c>
      <c r="H41" s="13" t="s">
        <v>626</v>
      </c>
      <c r="J41" s="13" t="s">
        <v>627</v>
      </c>
      <c r="O41" s="13" t="s">
        <v>628</v>
      </c>
      <c r="P41" s="13">
        <v>2</v>
      </c>
      <c r="Q41" s="13">
        <v>70</v>
      </c>
      <c r="R41" s="13">
        <v>0</v>
      </c>
      <c r="S41" s="13">
        <v>0</v>
      </c>
      <c r="T41" s="13">
        <v>0</v>
      </c>
      <c r="U41" s="13">
        <v>0</v>
      </c>
      <c r="V41" s="13">
        <v>1</v>
      </c>
      <c r="W41" s="13">
        <v>52</v>
      </c>
      <c r="X41" s="13">
        <v>0</v>
      </c>
      <c r="Y41" s="13" t="s">
        <v>471</v>
      </c>
    </row>
    <row r="42" spans="1:25" x14ac:dyDescent="0.25">
      <c r="A42" s="74">
        <v>41</v>
      </c>
      <c r="B42" s="75">
        <v>43138</v>
      </c>
      <c r="C42" s="75">
        <v>43288</v>
      </c>
      <c r="D42" s="13" t="s">
        <v>169</v>
      </c>
      <c r="E42" s="13">
        <v>1</v>
      </c>
      <c r="F42" s="13" t="s">
        <v>97</v>
      </c>
      <c r="G42" s="13" t="s">
        <v>98</v>
      </c>
      <c r="H42" s="13" t="s">
        <v>629</v>
      </c>
      <c r="J42" s="13" t="s">
        <v>630</v>
      </c>
      <c r="K42" s="13" t="s">
        <v>631</v>
      </c>
      <c r="L42" s="13" t="s">
        <v>106</v>
      </c>
      <c r="M42" s="13" t="s">
        <v>107</v>
      </c>
      <c r="N42" s="13" t="s">
        <v>104</v>
      </c>
      <c r="P42" s="13">
        <v>4</v>
      </c>
      <c r="Q42" s="13">
        <v>70</v>
      </c>
      <c r="R42" s="13">
        <v>0</v>
      </c>
      <c r="S42" s="13">
        <v>0</v>
      </c>
      <c r="T42" s="13">
        <v>0</v>
      </c>
      <c r="U42" s="13">
        <v>0</v>
      </c>
      <c r="V42" s="13">
        <v>0</v>
      </c>
      <c r="W42" s="13">
        <v>0</v>
      </c>
      <c r="X42" s="13">
        <v>0</v>
      </c>
      <c r="Y42" s="13" t="s">
        <v>471</v>
      </c>
    </row>
    <row r="43" spans="1:25" x14ac:dyDescent="0.25">
      <c r="A43" s="74">
        <v>42</v>
      </c>
      <c r="B43" s="75">
        <v>43138</v>
      </c>
      <c r="C43" s="75">
        <v>43288</v>
      </c>
      <c r="D43" s="13" t="s">
        <v>169</v>
      </c>
      <c r="E43" s="13">
        <v>1</v>
      </c>
      <c r="H43" s="13" t="s">
        <v>629</v>
      </c>
      <c r="J43" s="13" t="s">
        <v>630</v>
      </c>
      <c r="K43" s="13" t="s">
        <v>631</v>
      </c>
      <c r="P43" s="13">
        <v>2</v>
      </c>
      <c r="Q43" s="13">
        <v>70</v>
      </c>
      <c r="R43" s="13">
        <v>0</v>
      </c>
      <c r="S43" s="13">
        <v>0</v>
      </c>
      <c r="T43" s="13">
        <v>1</v>
      </c>
      <c r="U43" s="13">
        <v>35</v>
      </c>
      <c r="V43" s="13">
        <v>0</v>
      </c>
      <c r="W43" s="13">
        <v>0</v>
      </c>
      <c r="X43" s="13">
        <v>0</v>
      </c>
      <c r="Y43" s="13">
        <v>0</v>
      </c>
    </row>
    <row r="44" spans="1:25" x14ac:dyDescent="0.25">
      <c r="A44" s="74">
        <v>43</v>
      </c>
      <c r="B44" s="75">
        <v>43138</v>
      </c>
      <c r="C44" s="75">
        <v>43288</v>
      </c>
      <c r="D44" s="13" t="s">
        <v>169</v>
      </c>
      <c r="E44" s="13">
        <v>1</v>
      </c>
      <c r="H44" s="13" t="s">
        <v>629</v>
      </c>
      <c r="J44" s="13" t="s">
        <v>630</v>
      </c>
      <c r="K44" s="13" t="s">
        <v>631</v>
      </c>
      <c r="P44" s="13">
        <v>3</v>
      </c>
      <c r="Q44" s="13">
        <v>70</v>
      </c>
      <c r="R44" s="13">
        <v>0</v>
      </c>
      <c r="S44" s="13">
        <v>0</v>
      </c>
      <c r="T44" s="13">
        <v>0</v>
      </c>
      <c r="U44" s="13">
        <v>0</v>
      </c>
      <c r="V44" s="13">
        <v>0</v>
      </c>
      <c r="W44" s="13">
        <v>0</v>
      </c>
      <c r="X44" s="13">
        <v>0</v>
      </c>
      <c r="Y44" s="13">
        <v>0</v>
      </c>
    </row>
    <row r="45" spans="1:25" x14ac:dyDescent="0.25">
      <c r="A45" s="74">
        <v>44</v>
      </c>
      <c r="B45" s="75">
        <v>43441</v>
      </c>
      <c r="C45" s="75">
        <v>43441</v>
      </c>
      <c r="D45" s="13" t="s">
        <v>169</v>
      </c>
      <c r="E45" s="13">
        <v>1</v>
      </c>
      <c r="F45" s="13" t="s">
        <v>101</v>
      </c>
      <c r="H45" s="13" t="s">
        <v>632</v>
      </c>
      <c r="I45" s="13" t="s">
        <v>633</v>
      </c>
      <c r="J45" s="13" t="s">
        <v>634</v>
      </c>
      <c r="L45" s="13" t="s">
        <v>635</v>
      </c>
      <c r="M45" s="13" t="s">
        <v>107</v>
      </c>
      <c r="N45" s="13" t="s">
        <v>636</v>
      </c>
      <c r="P45" s="13">
        <v>1</v>
      </c>
      <c r="Q45" s="13" t="s">
        <v>573</v>
      </c>
      <c r="R45" s="13">
        <v>0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0</v>
      </c>
      <c r="Y45" s="13" t="s">
        <v>573</v>
      </c>
    </row>
    <row r="46" spans="1:25" x14ac:dyDescent="0.25">
      <c r="A46" s="74">
        <v>45</v>
      </c>
      <c r="B46" s="75">
        <v>43441</v>
      </c>
      <c r="C46" s="13" t="s">
        <v>637</v>
      </c>
      <c r="D46" s="13" t="s">
        <v>169</v>
      </c>
      <c r="E46" s="13">
        <v>4</v>
      </c>
      <c r="F46" s="13" t="s">
        <v>638</v>
      </c>
      <c r="G46" s="13" t="s">
        <v>98</v>
      </c>
      <c r="H46" s="13" t="s">
        <v>639</v>
      </c>
      <c r="I46" s="13" t="s">
        <v>640</v>
      </c>
      <c r="J46" s="13" t="s">
        <v>641</v>
      </c>
      <c r="L46" s="13" t="s">
        <v>572</v>
      </c>
      <c r="M46" s="13" t="s">
        <v>107</v>
      </c>
      <c r="N46" s="13" t="s">
        <v>111</v>
      </c>
      <c r="O46" s="13" t="s">
        <v>642</v>
      </c>
      <c r="P46" s="13">
        <v>3</v>
      </c>
      <c r="Q46" s="13" t="s">
        <v>643</v>
      </c>
      <c r="R46" s="13">
        <v>0</v>
      </c>
      <c r="S46" s="13">
        <v>0</v>
      </c>
      <c r="T46" s="13">
        <v>0</v>
      </c>
      <c r="U46" s="13">
        <v>0</v>
      </c>
      <c r="V46" s="13">
        <v>1</v>
      </c>
      <c r="W46" s="13" t="s">
        <v>644</v>
      </c>
      <c r="X46" s="13">
        <v>0</v>
      </c>
      <c r="Y46" s="13" t="s">
        <v>645</v>
      </c>
    </row>
    <row r="47" spans="1:25" x14ac:dyDescent="0.25">
      <c r="A47" s="74">
        <v>46</v>
      </c>
      <c r="B47" s="13" t="s">
        <v>646</v>
      </c>
      <c r="C47" s="13" t="s">
        <v>647</v>
      </c>
      <c r="D47" s="13" t="s">
        <v>169</v>
      </c>
      <c r="E47" s="13">
        <v>1</v>
      </c>
      <c r="F47" s="13" t="s">
        <v>97</v>
      </c>
      <c r="G47" s="13" t="s">
        <v>98</v>
      </c>
      <c r="H47" s="13" t="s">
        <v>648</v>
      </c>
      <c r="I47" s="13" t="s">
        <v>649</v>
      </c>
      <c r="J47" s="13" t="s">
        <v>650</v>
      </c>
      <c r="L47" s="13" t="s">
        <v>106</v>
      </c>
      <c r="M47" s="13" t="s">
        <v>99</v>
      </c>
      <c r="N47" s="13" t="s">
        <v>111</v>
      </c>
      <c r="O47" s="13" t="s">
        <v>651</v>
      </c>
      <c r="P47" s="13">
        <v>2</v>
      </c>
      <c r="Q47" s="13">
        <v>70</v>
      </c>
      <c r="R47" s="13">
        <v>0</v>
      </c>
      <c r="S47" s="13">
        <v>0</v>
      </c>
      <c r="T47" s="13">
        <v>1</v>
      </c>
      <c r="U47" s="13">
        <v>35</v>
      </c>
      <c r="V47" s="13">
        <v>0</v>
      </c>
      <c r="W47" s="13">
        <v>0</v>
      </c>
      <c r="X47" s="13">
        <v>0</v>
      </c>
      <c r="Y47" s="13" t="s">
        <v>471</v>
      </c>
    </row>
    <row r="48" spans="1:25" x14ac:dyDescent="0.25">
      <c r="A48" s="74">
        <v>47</v>
      </c>
      <c r="B48" s="13" t="s">
        <v>652</v>
      </c>
      <c r="C48" s="13" t="s">
        <v>653</v>
      </c>
      <c r="D48" s="13" t="s">
        <v>169</v>
      </c>
      <c r="E48" s="13">
        <v>3</v>
      </c>
      <c r="F48" s="13" t="s">
        <v>97</v>
      </c>
      <c r="G48" s="13" t="s">
        <v>98</v>
      </c>
      <c r="H48" s="13" t="s">
        <v>654</v>
      </c>
      <c r="J48" s="13" t="s">
        <v>655</v>
      </c>
      <c r="L48" s="13" t="s">
        <v>106</v>
      </c>
      <c r="M48" s="13" t="s">
        <v>99</v>
      </c>
      <c r="N48" s="13" t="s">
        <v>111</v>
      </c>
      <c r="O48" s="13" t="s">
        <v>656</v>
      </c>
      <c r="P48" s="13">
        <v>1</v>
      </c>
      <c r="Q48" s="13">
        <v>70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0</v>
      </c>
      <c r="X48" s="13">
        <v>0</v>
      </c>
      <c r="Y48" s="13" t="s">
        <v>471</v>
      </c>
    </row>
    <row r="49" spans="1:25" x14ac:dyDescent="0.25">
      <c r="A49" s="74">
        <v>48</v>
      </c>
      <c r="B49" s="75">
        <v>44172</v>
      </c>
      <c r="C49" s="75">
        <v>44112</v>
      </c>
      <c r="D49" s="13" t="s">
        <v>169</v>
      </c>
      <c r="E49" s="13">
        <v>3</v>
      </c>
      <c r="H49" s="13" t="s">
        <v>661</v>
      </c>
      <c r="P49" s="13">
        <v>1</v>
      </c>
      <c r="Q49" s="13">
        <v>70</v>
      </c>
      <c r="R49" s="13">
        <v>0</v>
      </c>
      <c r="S49" s="13">
        <v>0</v>
      </c>
      <c r="T49" s="13">
        <v>2</v>
      </c>
      <c r="U49" s="13">
        <v>35</v>
      </c>
      <c r="V49" s="13">
        <v>0</v>
      </c>
      <c r="W49" s="13">
        <v>0</v>
      </c>
      <c r="X49" s="13">
        <v>0</v>
      </c>
      <c r="Y49" s="13" t="s">
        <v>471</v>
      </c>
    </row>
  </sheetData>
  <customSheetViews>
    <customSheetView guid="{AEF9E62C-83A9-4673-8233-4BD95CE1CD85}" state="hidden" topLeftCell="E1">
      <selection activeCell="A10" sqref="A10"/>
    </customSheetView>
    <customSheetView guid="{BA562366-A36C-43E5-A385-816C6D2E948F}" state="hidden" topLeftCell="E1">
      <selection activeCell="A10" sqref="A10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70C0"/>
  </sheetPr>
  <dimension ref="A1:AX1002"/>
  <sheetViews>
    <sheetView showGridLines="0" topLeftCell="A22" workbookViewId="0">
      <selection activeCell="T19" sqref="T19:AC19"/>
    </sheetView>
  </sheetViews>
  <sheetFormatPr defaultColWidth="9.140625" defaultRowHeight="15" x14ac:dyDescent="0.25"/>
  <cols>
    <col min="1" max="182" width="2" style="13" customWidth="1"/>
    <col min="183" max="16384" width="9.140625" style="13"/>
  </cols>
  <sheetData>
    <row r="1" spans="1:50" ht="11.25" customHeight="1" x14ac:dyDescent="0.25"/>
    <row r="2" spans="1:50" ht="11.25" customHeight="1" x14ac:dyDescent="0.25"/>
    <row r="3" spans="1:50" ht="11.25" customHeight="1" x14ac:dyDescent="0.25"/>
    <row r="4" spans="1:50" ht="11.25" customHeight="1" x14ac:dyDescent="0.25"/>
    <row r="5" spans="1:50" ht="11.25" customHeight="1" x14ac:dyDescent="0.25">
      <c r="A5" s="137" t="s">
        <v>112</v>
      </c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23"/>
    </row>
    <row r="6" spans="1:50" ht="11.25" customHeight="1" x14ac:dyDescent="0.25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23"/>
    </row>
    <row r="7" spans="1:50" ht="11.25" customHeight="1" x14ac:dyDescent="0.25">
      <c r="A7" s="137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23"/>
    </row>
    <row r="8" spans="1:50" ht="11.25" customHeight="1" thickBot="1" x14ac:dyDescent="0.3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23"/>
    </row>
    <row r="9" spans="1:50" ht="12" customHeight="1" x14ac:dyDescent="0.25">
      <c r="A9" s="24"/>
      <c r="B9" s="24"/>
      <c r="C9" s="25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7"/>
      <c r="AV9" s="5"/>
      <c r="AW9" s="5"/>
      <c r="AX9" s="24"/>
    </row>
    <row r="10" spans="1:50" ht="12" customHeight="1" x14ac:dyDescent="0.25">
      <c r="A10" s="24"/>
      <c r="C10" s="2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29"/>
      <c r="AV10" s="8"/>
      <c r="AW10" s="8"/>
    </row>
    <row r="11" spans="1:50" ht="12" customHeight="1" x14ac:dyDescent="0.25">
      <c r="A11" s="24"/>
      <c r="C11" s="28"/>
      <c r="D11" s="30" t="s">
        <v>113</v>
      </c>
      <c r="E11" s="8"/>
      <c r="F11" s="8"/>
      <c r="G11" s="8"/>
      <c r="H11" s="8"/>
      <c r="I11" s="138">
        <v>49</v>
      </c>
      <c r="J11" s="138"/>
      <c r="K11" s="138"/>
      <c r="L11" s="138"/>
      <c r="M11" s="8"/>
      <c r="N11" s="8"/>
      <c r="O11" s="30" t="s">
        <v>114</v>
      </c>
      <c r="P11" s="8"/>
      <c r="Q11" s="8"/>
      <c r="R11" s="139">
        <v>44024</v>
      </c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8"/>
      <c r="AD11" s="30" t="s">
        <v>115</v>
      </c>
      <c r="AE11" s="8"/>
      <c r="AF11" s="8"/>
      <c r="AG11" s="8"/>
      <c r="AH11" s="127"/>
      <c r="AI11" s="127"/>
      <c r="AJ11" s="127"/>
      <c r="AK11" s="127"/>
      <c r="AL11" s="8"/>
      <c r="AM11" s="8"/>
      <c r="AN11" s="30" t="s">
        <v>116</v>
      </c>
      <c r="AO11" s="8"/>
      <c r="AP11" s="8"/>
      <c r="AQ11" s="8"/>
      <c r="AR11" s="127"/>
      <c r="AS11" s="127"/>
      <c r="AT11" s="127"/>
      <c r="AU11" s="29"/>
      <c r="AV11" s="8"/>
      <c r="AW11" s="8"/>
    </row>
    <row r="12" spans="1:50" ht="12" customHeight="1" thickBot="1" x14ac:dyDescent="0.3">
      <c r="A12" s="24"/>
      <c r="C12" s="31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3"/>
      <c r="AV12" s="8"/>
      <c r="AW12" s="8"/>
    </row>
    <row r="13" spans="1:50" ht="12" customHeight="1" x14ac:dyDescent="0.25">
      <c r="A13" s="24"/>
      <c r="C13" s="34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6"/>
      <c r="AV13" s="8"/>
      <c r="AW13" s="8"/>
    </row>
    <row r="14" spans="1:50" ht="12" customHeight="1" x14ac:dyDescent="0.25">
      <c r="A14" s="24"/>
      <c r="C14" s="2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29"/>
      <c r="AV14" s="8"/>
      <c r="AW14" s="8"/>
    </row>
    <row r="15" spans="1:50" ht="12" customHeight="1" x14ac:dyDescent="0.25">
      <c r="A15" s="24"/>
      <c r="C15" s="28"/>
      <c r="D15" s="30" t="s">
        <v>117</v>
      </c>
      <c r="E15" s="8"/>
      <c r="F15" s="8"/>
      <c r="G15" s="8"/>
      <c r="H15" s="114">
        <v>3</v>
      </c>
      <c r="I15" s="114"/>
      <c r="J15" s="8"/>
      <c r="K15" s="30" t="s">
        <v>118</v>
      </c>
      <c r="L15" s="8"/>
      <c r="M15" s="8"/>
      <c r="N15" s="8"/>
      <c r="O15" s="8"/>
      <c r="P15" s="139">
        <v>44053</v>
      </c>
      <c r="Q15" s="114"/>
      <c r="R15" s="114"/>
      <c r="S15" s="114"/>
      <c r="T15" s="114"/>
      <c r="U15" s="114"/>
      <c r="V15" s="114"/>
      <c r="W15" s="114"/>
      <c r="X15" s="8"/>
      <c r="Y15" s="114" t="s">
        <v>169</v>
      </c>
      <c r="Z15" s="114"/>
      <c r="AA15" s="114"/>
      <c r="AB15" s="114"/>
      <c r="AC15" s="8"/>
      <c r="AD15" s="30" t="s">
        <v>119</v>
      </c>
      <c r="AE15" s="8"/>
      <c r="AF15" s="8"/>
      <c r="AG15" s="8"/>
      <c r="AH15" s="140">
        <v>44056</v>
      </c>
      <c r="AI15" s="140"/>
      <c r="AJ15" s="140"/>
      <c r="AK15" s="140"/>
      <c r="AL15" s="140"/>
      <c r="AM15" s="140"/>
      <c r="AN15" s="140"/>
      <c r="AO15" s="140"/>
      <c r="AP15" s="8"/>
      <c r="AQ15" s="114" t="s">
        <v>470</v>
      </c>
      <c r="AR15" s="114"/>
      <c r="AS15" s="114"/>
      <c r="AT15" s="114"/>
      <c r="AU15" s="29"/>
      <c r="AV15" s="8"/>
      <c r="AW15" s="8"/>
    </row>
    <row r="16" spans="1:50" ht="12" customHeight="1" thickBot="1" x14ac:dyDescent="0.3">
      <c r="A16" s="24"/>
      <c r="C16" s="31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3"/>
      <c r="AV16" s="8"/>
      <c r="AW16" s="8"/>
    </row>
    <row r="17" spans="1:49" ht="12" customHeight="1" x14ac:dyDescent="0.25">
      <c r="A17" s="24"/>
      <c r="C17" s="34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6"/>
      <c r="AV17" s="8"/>
      <c r="AW17" s="8"/>
    </row>
    <row r="18" spans="1:49" ht="12" customHeight="1" x14ac:dyDescent="0.25">
      <c r="A18" s="24"/>
      <c r="C18" s="2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29"/>
      <c r="AV18" s="8"/>
      <c r="AW18" s="8"/>
    </row>
    <row r="19" spans="1:49" ht="12" customHeight="1" x14ac:dyDescent="0.25">
      <c r="A19" s="24"/>
      <c r="C19" s="28"/>
      <c r="D19" s="30" t="s">
        <v>120</v>
      </c>
      <c r="E19" s="8"/>
      <c r="F19" s="8"/>
      <c r="G19" s="141"/>
      <c r="H19" s="141"/>
      <c r="I19" s="141"/>
      <c r="J19" s="141"/>
      <c r="K19" s="141"/>
      <c r="L19" s="141"/>
      <c r="M19" s="8"/>
      <c r="N19" s="30" t="s">
        <v>121</v>
      </c>
      <c r="O19" s="8"/>
      <c r="P19" s="8"/>
      <c r="Q19" s="8"/>
      <c r="R19" s="8"/>
      <c r="S19" s="8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8"/>
      <c r="AE19" s="30" t="s">
        <v>122</v>
      </c>
      <c r="AF19" s="8"/>
      <c r="AG19" s="8"/>
      <c r="AH19" s="8"/>
      <c r="AI19" s="8"/>
      <c r="AJ19" s="8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29"/>
      <c r="AV19" s="8"/>
      <c r="AW19" s="8"/>
    </row>
    <row r="20" spans="1:49" ht="12" customHeight="1" thickBot="1" x14ac:dyDescent="0.3">
      <c r="A20" s="24"/>
      <c r="C20" s="31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3"/>
      <c r="AV20" s="8"/>
      <c r="AW20" s="8"/>
    </row>
    <row r="21" spans="1:49" ht="12" customHeight="1" x14ac:dyDescent="0.25">
      <c r="A21" s="24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6"/>
      <c r="AV21" s="8"/>
      <c r="AW21" s="8"/>
    </row>
    <row r="22" spans="1:49" ht="12" customHeight="1" x14ac:dyDescent="0.25">
      <c r="A22" s="24"/>
      <c r="C22" s="28"/>
      <c r="D22" s="30" t="s">
        <v>123</v>
      </c>
      <c r="E22" s="8"/>
      <c r="F22" s="8"/>
      <c r="G22" s="8"/>
      <c r="H22" s="8"/>
      <c r="I22" s="127" t="s">
        <v>661</v>
      </c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  <c r="AM22" s="127"/>
      <c r="AN22" s="127"/>
      <c r="AO22" s="127"/>
      <c r="AP22" s="127"/>
      <c r="AQ22" s="127"/>
      <c r="AR22" s="127"/>
      <c r="AS22" s="127"/>
      <c r="AT22" s="127"/>
      <c r="AU22" s="29"/>
      <c r="AV22" s="8"/>
      <c r="AW22" s="8"/>
    </row>
    <row r="23" spans="1:49" ht="12" customHeight="1" x14ac:dyDescent="0.25">
      <c r="A23" s="24"/>
      <c r="C23" s="2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29"/>
      <c r="AV23" s="8"/>
      <c r="AW23" s="8"/>
    </row>
    <row r="24" spans="1:49" ht="12" customHeight="1" x14ac:dyDescent="0.25">
      <c r="A24" s="24"/>
      <c r="C24" s="28"/>
      <c r="D24" s="30" t="s">
        <v>124</v>
      </c>
      <c r="E24" s="8"/>
      <c r="F24" s="8"/>
      <c r="G24" s="8"/>
      <c r="H24" s="37" t="s">
        <v>457</v>
      </c>
      <c r="I24" s="37"/>
      <c r="J24" s="37"/>
      <c r="K24" s="37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/>
      <c r="AH24" s="127"/>
      <c r="AI24" s="127"/>
      <c r="AJ24" s="127"/>
      <c r="AK24" s="127"/>
      <c r="AL24" s="127"/>
      <c r="AM24" s="127"/>
      <c r="AN24" s="127"/>
      <c r="AO24" s="127"/>
      <c r="AP24" s="127"/>
      <c r="AQ24" s="127"/>
      <c r="AR24" s="127"/>
      <c r="AS24" s="127"/>
      <c r="AT24" s="127"/>
      <c r="AU24" s="29"/>
      <c r="AV24" s="8"/>
      <c r="AW24" s="8"/>
    </row>
    <row r="25" spans="1:49" ht="12" customHeight="1" x14ac:dyDescent="0.25">
      <c r="A25" s="24"/>
      <c r="C25" s="2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29"/>
      <c r="AV25" s="8"/>
      <c r="AW25" s="8"/>
    </row>
    <row r="26" spans="1:49" ht="12" customHeight="1" x14ac:dyDescent="0.25">
      <c r="A26" s="24"/>
      <c r="C26" s="28"/>
      <c r="D26" s="30" t="s">
        <v>125</v>
      </c>
      <c r="E26" s="8"/>
      <c r="F26" s="8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8"/>
      <c r="Z26" s="30" t="s">
        <v>126</v>
      </c>
      <c r="AA26" s="8"/>
      <c r="AB26" s="8"/>
      <c r="AC26" s="8"/>
      <c r="AD26" s="127"/>
      <c r="AE26" s="127"/>
      <c r="AF26" s="127"/>
      <c r="AG26" s="127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29"/>
      <c r="AV26" s="8"/>
      <c r="AW26" s="8"/>
    </row>
    <row r="27" spans="1:49" ht="12" customHeight="1" thickBot="1" x14ac:dyDescent="0.3">
      <c r="A27" s="24"/>
      <c r="C27" s="31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3"/>
      <c r="AV27" s="8"/>
      <c r="AW27" s="8"/>
    </row>
    <row r="28" spans="1:49" ht="12" customHeight="1" thickBot="1" x14ac:dyDescent="0.3">
      <c r="A28" s="24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8"/>
      <c r="AW28" s="8"/>
    </row>
    <row r="29" spans="1:49" ht="12" customHeight="1" x14ac:dyDescent="0.25">
      <c r="A29" s="24"/>
      <c r="C29" s="128" t="s">
        <v>127</v>
      </c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30"/>
      <c r="P29" s="128" t="s">
        <v>128</v>
      </c>
      <c r="Q29" s="129"/>
      <c r="R29" s="129"/>
      <c r="S29" s="129"/>
      <c r="T29" s="129"/>
      <c r="U29" s="129"/>
      <c r="V29" s="129"/>
      <c r="W29" s="129"/>
      <c r="X29" s="129"/>
      <c r="Y29" s="130"/>
      <c r="Z29" s="128" t="s">
        <v>129</v>
      </c>
      <c r="AA29" s="129"/>
      <c r="AB29" s="129"/>
      <c r="AC29" s="129"/>
      <c r="AD29" s="129"/>
      <c r="AE29" s="129"/>
      <c r="AF29" s="129"/>
      <c r="AG29" s="129"/>
      <c r="AH29" s="129"/>
      <c r="AI29" s="129"/>
      <c r="AJ29" s="130"/>
      <c r="AK29" s="128" t="s">
        <v>130</v>
      </c>
      <c r="AL29" s="129"/>
      <c r="AM29" s="129"/>
      <c r="AN29" s="129"/>
      <c r="AO29" s="129"/>
      <c r="AP29" s="129"/>
      <c r="AQ29" s="129"/>
      <c r="AR29" s="129"/>
      <c r="AS29" s="129"/>
      <c r="AT29" s="129"/>
      <c r="AU29" s="130"/>
      <c r="AV29" s="8"/>
      <c r="AW29" s="8"/>
    </row>
    <row r="30" spans="1:49" ht="12" customHeight="1" x14ac:dyDescent="0.25">
      <c r="A30" s="24"/>
      <c r="C30" s="131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P30" s="131"/>
      <c r="Q30" s="132"/>
      <c r="R30" s="132"/>
      <c r="S30" s="132"/>
      <c r="T30" s="132"/>
      <c r="U30" s="132"/>
      <c r="V30" s="132"/>
      <c r="W30" s="132"/>
      <c r="X30" s="132"/>
      <c r="Y30" s="133"/>
      <c r="Z30" s="131"/>
      <c r="AA30" s="132"/>
      <c r="AB30" s="132"/>
      <c r="AC30" s="132"/>
      <c r="AD30" s="132"/>
      <c r="AE30" s="132"/>
      <c r="AF30" s="132"/>
      <c r="AG30" s="132"/>
      <c r="AH30" s="132"/>
      <c r="AI30" s="132"/>
      <c r="AJ30" s="133"/>
      <c r="AK30" s="131"/>
      <c r="AL30" s="132"/>
      <c r="AM30" s="132"/>
      <c r="AN30" s="132"/>
      <c r="AO30" s="132"/>
      <c r="AP30" s="132"/>
      <c r="AQ30" s="132"/>
      <c r="AR30" s="132"/>
      <c r="AS30" s="132"/>
      <c r="AT30" s="132"/>
      <c r="AU30" s="133"/>
      <c r="AV30" s="8"/>
      <c r="AW30" s="8"/>
    </row>
    <row r="31" spans="1:49" ht="12" customHeight="1" thickBot="1" x14ac:dyDescent="0.3">
      <c r="A31" s="24"/>
      <c r="C31" s="134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6"/>
      <c r="P31" s="134"/>
      <c r="Q31" s="135"/>
      <c r="R31" s="135"/>
      <c r="S31" s="135"/>
      <c r="T31" s="135"/>
      <c r="U31" s="135"/>
      <c r="V31" s="135"/>
      <c r="W31" s="135"/>
      <c r="X31" s="135"/>
      <c r="Y31" s="136"/>
      <c r="Z31" s="134"/>
      <c r="AA31" s="135"/>
      <c r="AB31" s="135"/>
      <c r="AC31" s="135"/>
      <c r="AD31" s="135"/>
      <c r="AE31" s="135"/>
      <c r="AF31" s="135"/>
      <c r="AG31" s="135"/>
      <c r="AH31" s="135"/>
      <c r="AI31" s="135"/>
      <c r="AJ31" s="136"/>
      <c r="AK31" s="134"/>
      <c r="AL31" s="135"/>
      <c r="AM31" s="135"/>
      <c r="AN31" s="135"/>
      <c r="AO31" s="135"/>
      <c r="AP31" s="135"/>
      <c r="AQ31" s="135"/>
      <c r="AR31" s="135"/>
      <c r="AS31" s="135"/>
      <c r="AT31" s="135"/>
      <c r="AU31" s="136"/>
      <c r="AV31" s="8"/>
      <c r="AW31" s="8"/>
    </row>
    <row r="32" spans="1:49" ht="12" customHeight="1" x14ac:dyDescent="0.25">
      <c r="A32" s="24"/>
      <c r="C32" s="34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4"/>
      <c r="Q32" s="35"/>
      <c r="R32" s="35"/>
      <c r="S32" s="35"/>
      <c r="T32" s="35"/>
      <c r="U32" s="35"/>
      <c r="V32" s="35"/>
      <c r="W32" s="35"/>
      <c r="X32" s="35"/>
      <c r="Y32" s="36"/>
      <c r="Z32" s="34"/>
      <c r="AA32" s="35"/>
      <c r="AB32" s="35"/>
      <c r="AC32" s="35"/>
      <c r="AD32" s="35"/>
      <c r="AE32" s="35"/>
      <c r="AF32" s="35"/>
      <c r="AG32" s="35"/>
      <c r="AH32" s="35"/>
      <c r="AI32" s="35"/>
      <c r="AJ32" s="36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6"/>
    </row>
    <row r="33" spans="1:47" ht="12" customHeight="1" x14ac:dyDescent="0.25">
      <c r="A33" s="24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28"/>
      <c r="Q33" s="8"/>
      <c r="R33" s="8"/>
      <c r="S33" s="8"/>
      <c r="T33" s="8"/>
      <c r="U33" s="8"/>
      <c r="V33" s="8"/>
      <c r="W33" s="8"/>
      <c r="X33" s="8"/>
      <c r="Y33" s="29"/>
      <c r="Z33" s="28"/>
      <c r="AA33" s="8"/>
      <c r="AB33" s="8"/>
      <c r="AC33" s="8"/>
      <c r="AD33" s="8"/>
      <c r="AE33" s="8"/>
      <c r="AF33" s="8"/>
      <c r="AG33" s="8"/>
      <c r="AH33" s="8"/>
      <c r="AI33" s="8"/>
      <c r="AJ33" s="29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29"/>
    </row>
    <row r="34" spans="1:47" ht="12" customHeight="1" x14ac:dyDescent="0.25">
      <c r="A34" s="24"/>
      <c r="C34" s="28"/>
      <c r="D34" s="30" t="s">
        <v>131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28"/>
      <c r="Q34" s="118">
        <v>1</v>
      </c>
      <c r="R34" s="118"/>
      <c r="S34" s="118"/>
      <c r="T34" s="118"/>
      <c r="U34" s="118"/>
      <c r="V34" s="118"/>
      <c r="W34" s="118"/>
      <c r="X34" s="118"/>
      <c r="Y34" s="29"/>
      <c r="Z34" s="28"/>
      <c r="AA34" s="116" t="s">
        <v>573</v>
      </c>
      <c r="AB34" s="116"/>
      <c r="AC34" s="116"/>
      <c r="AD34" s="116"/>
      <c r="AE34" s="116"/>
      <c r="AF34" s="116"/>
      <c r="AG34" s="116"/>
      <c r="AH34" s="116"/>
      <c r="AI34" s="116"/>
      <c r="AJ34" s="29"/>
      <c r="AK34" s="8"/>
      <c r="AL34" s="116" t="s">
        <v>573</v>
      </c>
      <c r="AM34" s="116"/>
      <c r="AN34" s="116"/>
      <c r="AO34" s="116"/>
      <c r="AP34" s="116"/>
      <c r="AQ34" s="116"/>
      <c r="AR34" s="116"/>
      <c r="AS34" s="116"/>
      <c r="AT34" s="116"/>
      <c r="AU34" s="29"/>
    </row>
    <row r="35" spans="1:47" ht="12" customHeight="1" x14ac:dyDescent="0.25">
      <c r="A35" s="24"/>
      <c r="C35" s="2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28"/>
      <c r="Q35" s="8"/>
      <c r="R35" s="8"/>
      <c r="S35" s="8"/>
      <c r="T35" s="8"/>
      <c r="U35" s="8"/>
      <c r="V35" s="8"/>
      <c r="W35" s="8"/>
      <c r="X35" s="8"/>
      <c r="Y35" s="29"/>
      <c r="Z35" s="28"/>
      <c r="AA35" s="57"/>
      <c r="AB35" s="57"/>
      <c r="AC35" s="57"/>
      <c r="AD35" s="57"/>
      <c r="AE35" s="57"/>
      <c r="AF35" s="57"/>
      <c r="AG35" s="57"/>
      <c r="AH35" s="57"/>
      <c r="AI35" s="57"/>
      <c r="AJ35" s="29"/>
      <c r="AK35" s="8"/>
      <c r="AL35" s="57"/>
      <c r="AM35" s="57"/>
      <c r="AN35" s="57"/>
      <c r="AO35" s="57"/>
      <c r="AP35" s="57"/>
      <c r="AQ35" s="57"/>
      <c r="AR35" s="57"/>
      <c r="AS35" s="57"/>
      <c r="AT35" s="57"/>
      <c r="AU35" s="29"/>
    </row>
    <row r="36" spans="1:47" ht="12" customHeight="1" x14ac:dyDescent="0.25">
      <c r="A36" s="24"/>
      <c r="C36" s="28"/>
      <c r="D36" s="30" t="s">
        <v>132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28"/>
      <c r="Q36" s="118">
        <v>0</v>
      </c>
      <c r="R36" s="118"/>
      <c r="S36" s="118"/>
      <c r="T36" s="118"/>
      <c r="U36" s="118"/>
      <c r="V36" s="118"/>
      <c r="W36" s="118"/>
      <c r="X36" s="118"/>
      <c r="Y36" s="29"/>
      <c r="Z36" s="28"/>
      <c r="AA36" s="116" t="s">
        <v>471</v>
      </c>
      <c r="AB36" s="116"/>
      <c r="AC36" s="116"/>
      <c r="AD36" s="116"/>
      <c r="AE36" s="116"/>
      <c r="AF36" s="116"/>
      <c r="AG36" s="116"/>
      <c r="AH36" s="116"/>
      <c r="AI36" s="116"/>
      <c r="AJ36" s="29"/>
      <c r="AK36" s="8"/>
      <c r="AL36" s="116" t="s">
        <v>471</v>
      </c>
      <c r="AM36" s="116"/>
      <c r="AN36" s="116"/>
      <c r="AO36" s="116"/>
      <c r="AP36" s="116"/>
      <c r="AQ36" s="116"/>
      <c r="AR36" s="116"/>
      <c r="AS36" s="116"/>
      <c r="AT36" s="116"/>
      <c r="AU36" s="29"/>
    </row>
    <row r="37" spans="1:47" ht="12" customHeight="1" x14ac:dyDescent="0.25">
      <c r="A37" s="24"/>
      <c r="C37" s="2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8"/>
      <c r="Q37" s="8"/>
      <c r="R37" s="8"/>
      <c r="S37" s="8"/>
      <c r="T37" s="8"/>
      <c r="U37" s="8"/>
      <c r="V37" s="8"/>
      <c r="W37" s="8"/>
      <c r="X37" s="8"/>
      <c r="Y37" s="29"/>
      <c r="Z37" s="28"/>
      <c r="AA37" s="57"/>
      <c r="AB37" s="57"/>
      <c r="AC37" s="57"/>
      <c r="AD37" s="57"/>
      <c r="AE37" s="57"/>
      <c r="AF37" s="57"/>
      <c r="AG37" s="57"/>
      <c r="AH37" s="57"/>
      <c r="AI37" s="57"/>
      <c r="AJ37" s="29"/>
      <c r="AK37" s="8"/>
      <c r="AL37" s="57"/>
      <c r="AM37" s="57"/>
      <c r="AN37" s="57"/>
      <c r="AO37" s="57"/>
      <c r="AP37" s="57"/>
      <c r="AQ37" s="57"/>
      <c r="AR37" s="57"/>
      <c r="AS37" s="57"/>
      <c r="AT37" s="57"/>
      <c r="AU37" s="29"/>
    </row>
    <row r="38" spans="1:47" ht="12" customHeight="1" x14ac:dyDescent="0.25">
      <c r="A38" s="24"/>
      <c r="C38" s="28"/>
      <c r="D38" s="30" t="s">
        <v>133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28"/>
      <c r="Q38" s="118">
        <v>2</v>
      </c>
      <c r="R38" s="118"/>
      <c r="S38" s="118"/>
      <c r="T38" s="118"/>
      <c r="U38" s="118"/>
      <c r="V38" s="118"/>
      <c r="W38" s="118"/>
      <c r="X38" s="118"/>
      <c r="Y38" s="29"/>
      <c r="Z38" s="28"/>
      <c r="AA38" s="116" t="s">
        <v>662</v>
      </c>
      <c r="AB38" s="116"/>
      <c r="AC38" s="116"/>
      <c r="AD38" s="116"/>
      <c r="AE38" s="116"/>
      <c r="AF38" s="116"/>
      <c r="AG38" s="116"/>
      <c r="AH38" s="116"/>
      <c r="AI38" s="116"/>
      <c r="AJ38" s="29"/>
      <c r="AK38" s="8"/>
      <c r="AL38" s="116" t="s">
        <v>573</v>
      </c>
      <c r="AM38" s="116"/>
      <c r="AN38" s="116"/>
      <c r="AO38" s="116"/>
      <c r="AP38" s="116"/>
      <c r="AQ38" s="116"/>
      <c r="AR38" s="116"/>
      <c r="AS38" s="116"/>
      <c r="AT38" s="116"/>
      <c r="AU38" s="29"/>
    </row>
    <row r="39" spans="1:47" ht="12" customHeight="1" x14ac:dyDescent="0.25">
      <c r="A39" s="24"/>
      <c r="C39" s="2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28"/>
      <c r="Q39" s="8"/>
      <c r="R39" s="8"/>
      <c r="S39" s="8"/>
      <c r="T39" s="8"/>
      <c r="U39" s="8"/>
      <c r="V39" s="8"/>
      <c r="W39" s="8"/>
      <c r="X39" s="8"/>
      <c r="Y39" s="29"/>
      <c r="Z39" s="28"/>
      <c r="AA39" s="57"/>
      <c r="AB39" s="57"/>
      <c r="AC39" s="57"/>
      <c r="AD39" s="57"/>
      <c r="AE39" s="57"/>
      <c r="AF39" s="57"/>
      <c r="AG39" s="57"/>
      <c r="AH39" s="57"/>
      <c r="AI39" s="57"/>
      <c r="AJ39" s="29"/>
      <c r="AK39" s="8"/>
      <c r="AL39" s="57"/>
      <c r="AM39" s="57"/>
      <c r="AN39" s="57"/>
      <c r="AO39" s="57"/>
      <c r="AP39" s="57"/>
      <c r="AQ39" s="57"/>
      <c r="AR39" s="57"/>
      <c r="AS39" s="57"/>
      <c r="AT39" s="57"/>
      <c r="AU39" s="29"/>
    </row>
    <row r="40" spans="1:47" ht="12" customHeight="1" x14ac:dyDescent="0.25">
      <c r="A40" s="24"/>
      <c r="C40" s="28"/>
      <c r="D40" s="30" t="s">
        <v>134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28"/>
      <c r="Q40" s="118">
        <v>0</v>
      </c>
      <c r="R40" s="118"/>
      <c r="S40" s="118"/>
      <c r="T40" s="118"/>
      <c r="U40" s="118"/>
      <c r="V40" s="118"/>
      <c r="W40" s="118"/>
      <c r="X40" s="118"/>
      <c r="Y40" s="29"/>
      <c r="Z40" s="28"/>
      <c r="AA40" s="116" t="s">
        <v>471</v>
      </c>
      <c r="AB40" s="116"/>
      <c r="AC40" s="116"/>
      <c r="AD40" s="116"/>
      <c r="AE40" s="116"/>
      <c r="AF40" s="116"/>
      <c r="AG40" s="116"/>
      <c r="AH40" s="116"/>
      <c r="AI40" s="116"/>
      <c r="AJ40" s="29"/>
      <c r="AK40" s="8"/>
      <c r="AL40" s="116" t="s">
        <v>471</v>
      </c>
      <c r="AM40" s="116"/>
      <c r="AN40" s="116"/>
      <c r="AO40" s="116"/>
      <c r="AP40" s="116"/>
      <c r="AQ40" s="116"/>
      <c r="AR40" s="116"/>
      <c r="AS40" s="116"/>
      <c r="AT40" s="116"/>
      <c r="AU40" s="29"/>
    </row>
    <row r="41" spans="1:47" ht="12" customHeight="1" x14ac:dyDescent="0.25">
      <c r="A41" s="24"/>
      <c r="C41" s="2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28"/>
      <c r="Q41" s="8"/>
      <c r="R41" s="8"/>
      <c r="S41" s="8"/>
      <c r="T41" s="8"/>
      <c r="U41" s="8"/>
      <c r="V41" s="8"/>
      <c r="W41" s="8"/>
      <c r="X41" s="8"/>
      <c r="Y41" s="29"/>
      <c r="Z41" s="28"/>
      <c r="AA41" s="8"/>
      <c r="AB41" s="8"/>
      <c r="AC41" s="8"/>
      <c r="AD41" s="8"/>
      <c r="AE41" s="8"/>
      <c r="AF41" s="8"/>
      <c r="AG41" s="8"/>
      <c r="AH41" s="8"/>
      <c r="AI41" s="8"/>
      <c r="AJ41" s="29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29"/>
    </row>
    <row r="42" spans="1:47" ht="12" customHeight="1" thickBot="1" x14ac:dyDescent="0.3">
      <c r="A42" s="24"/>
      <c r="C42" s="31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1"/>
      <c r="Q42" s="32"/>
      <c r="R42" s="32"/>
      <c r="S42" s="32"/>
      <c r="T42" s="32"/>
      <c r="U42" s="32"/>
      <c r="V42" s="32"/>
      <c r="W42" s="32"/>
      <c r="X42" s="32"/>
      <c r="Y42" s="33"/>
      <c r="Z42" s="31"/>
      <c r="AA42" s="32"/>
      <c r="AB42" s="32"/>
      <c r="AC42" s="32"/>
      <c r="AD42" s="32"/>
      <c r="AE42" s="32"/>
      <c r="AF42" s="32"/>
      <c r="AG42" s="32"/>
      <c r="AH42" s="32"/>
      <c r="AI42" s="32"/>
      <c r="AJ42" s="33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3"/>
    </row>
    <row r="43" spans="1:47" ht="12" customHeight="1" x14ac:dyDescent="0.25">
      <c r="A43" s="24"/>
      <c r="C43" s="34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4"/>
      <c r="Q43" s="35"/>
      <c r="R43" s="35"/>
      <c r="S43" s="35"/>
      <c r="T43" s="35"/>
      <c r="U43" s="35"/>
      <c r="V43" s="35"/>
      <c r="W43" s="35"/>
      <c r="X43" s="35"/>
      <c r="Y43" s="36"/>
      <c r="Z43" s="34"/>
      <c r="AA43" s="35"/>
      <c r="AB43" s="35"/>
      <c r="AC43" s="35"/>
      <c r="AD43" s="35"/>
      <c r="AE43" s="35"/>
      <c r="AF43" s="35"/>
      <c r="AG43" s="35"/>
      <c r="AH43" s="35"/>
      <c r="AI43" s="35"/>
      <c r="AJ43" s="36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6"/>
    </row>
    <row r="44" spans="1:47" ht="12" customHeight="1" x14ac:dyDescent="0.25">
      <c r="A44" s="24"/>
      <c r="C44" s="28"/>
      <c r="D44" s="30" t="s">
        <v>135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28"/>
      <c r="Q44" s="125">
        <v>3</v>
      </c>
      <c r="R44" s="125"/>
      <c r="S44" s="125"/>
      <c r="T44" s="125"/>
      <c r="U44" s="125"/>
      <c r="V44" s="125"/>
      <c r="W44" s="125"/>
      <c r="X44" s="125"/>
      <c r="Y44" s="29"/>
      <c r="Z44" s="28"/>
      <c r="AA44" s="8"/>
      <c r="AB44" s="8"/>
      <c r="AC44" s="8"/>
      <c r="AD44" s="8"/>
      <c r="AE44" s="8"/>
      <c r="AF44" s="8"/>
      <c r="AG44" s="8"/>
      <c r="AH44" s="8"/>
      <c r="AI44" s="8"/>
      <c r="AJ44" s="29"/>
      <c r="AK44" s="8"/>
      <c r="AL44" s="126" t="s">
        <v>595</v>
      </c>
      <c r="AM44" s="126"/>
      <c r="AN44" s="126"/>
      <c r="AO44" s="126"/>
      <c r="AP44" s="126"/>
      <c r="AQ44" s="126"/>
      <c r="AR44" s="126"/>
      <c r="AS44" s="126"/>
      <c r="AT44" s="126"/>
      <c r="AU44" s="29"/>
    </row>
    <row r="45" spans="1:47" ht="12" customHeight="1" thickBot="1" x14ac:dyDescent="0.3">
      <c r="A45" s="24"/>
      <c r="C45" s="31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1"/>
      <c r="Q45" s="32"/>
      <c r="R45" s="32"/>
      <c r="S45" s="32"/>
      <c r="T45" s="32"/>
      <c r="U45" s="32"/>
      <c r="V45" s="32"/>
      <c r="W45" s="32"/>
      <c r="X45" s="32"/>
      <c r="Y45" s="33"/>
      <c r="Z45" s="31"/>
      <c r="AA45" s="32"/>
      <c r="AB45" s="32"/>
      <c r="AC45" s="32"/>
      <c r="AD45" s="32"/>
      <c r="AE45" s="32"/>
      <c r="AF45" s="32"/>
      <c r="AG45" s="32"/>
      <c r="AH45" s="32"/>
      <c r="AI45" s="32"/>
      <c r="AJ45" s="33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3"/>
    </row>
    <row r="46" spans="1:47" ht="12" customHeight="1" thickBot="1" x14ac:dyDescent="0.3">
      <c r="A46" s="24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</row>
    <row r="47" spans="1:47" ht="12" customHeight="1" x14ac:dyDescent="0.25">
      <c r="A47" s="24"/>
      <c r="C47" s="34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6"/>
    </row>
    <row r="48" spans="1:47" ht="12" customHeight="1" x14ac:dyDescent="0.25">
      <c r="A48" s="24"/>
      <c r="C48" s="28"/>
      <c r="D48" s="30" t="s">
        <v>136</v>
      </c>
      <c r="E48" s="8"/>
      <c r="F48" s="8"/>
      <c r="G48" s="8"/>
      <c r="H48" s="8"/>
      <c r="I48" s="8"/>
      <c r="J48" s="8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29"/>
    </row>
    <row r="49" spans="1:47" ht="12" customHeight="1" x14ac:dyDescent="0.25">
      <c r="A49" s="24"/>
      <c r="C49" s="2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29"/>
    </row>
    <row r="50" spans="1:47" ht="12" customHeight="1" x14ac:dyDescent="0.25">
      <c r="A50" s="24"/>
      <c r="C50" s="28"/>
      <c r="D50" s="30" t="s">
        <v>458</v>
      </c>
      <c r="E50" s="8"/>
      <c r="F50" s="8"/>
      <c r="G50" s="8"/>
      <c r="H50" s="8"/>
      <c r="I50" s="8"/>
      <c r="J50" s="118">
        <v>0</v>
      </c>
      <c r="K50" s="118"/>
      <c r="L50" s="30" t="s">
        <v>459</v>
      </c>
      <c r="M50" s="8"/>
      <c r="N50" s="8"/>
      <c r="O50" s="8"/>
      <c r="P50" s="8"/>
      <c r="Q50" s="8"/>
      <c r="R50" s="8"/>
      <c r="S50" s="8"/>
      <c r="T50" s="39"/>
      <c r="U50" s="8"/>
      <c r="V50" s="8"/>
      <c r="W50" s="8"/>
      <c r="X50" s="8"/>
      <c r="Y50" s="40" t="s">
        <v>137</v>
      </c>
      <c r="Z50" s="8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116" t="s">
        <v>663</v>
      </c>
      <c r="AM50" s="116"/>
      <c r="AN50" s="116"/>
      <c r="AO50" s="116"/>
      <c r="AP50" s="116"/>
      <c r="AQ50" s="116"/>
      <c r="AR50" s="116"/>
      <c r="AS50" s="116"/>
      <c r="AT50" s="37"/>
      <c r="AU50" s="29"/>
    </row>
    <row r="51" spans="1:47" ht="12" customHeight="1" x14ac:dyDescent="0.25">
      <c r="A51" s="24"/>
      <c r="C51" s="2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29"/>
    </row>
    <row r="52" spans="1:47" ht="12" customHeight="1" x14ac:dyDescent="0.25">
      <c r="A52" s="24"/>
      <c r="C52" s="28"/>
      <c r="D52" s="30" t="s">
        <v>138</v>
      </c>
      <c r="E52" s="8"/>
      <c r="F52" s="8"/>
      <c r="G52" s="8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29"/>
    </row>
    <row r="53" spans="1:47" ht="12" customHeight="1" x14ac:dyDescent="0.25">
      <c r="A53" s="24"/>
      <c r="C53" s="2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29"/>
    </row>
    <row r="54" spans="1:47" ht="12" customHeight="1" x14ac:dyDescent="0.25">
      <c r="A54" s="24"/>
      <c r="C54" s="28"/>
      <c r="D54" s="30" t="s">
        <v>139</v>
      </c>
      <c r="E54" s="8"/>
      <c r="F54" s="8"/>
      <c r="G54" s="8"/>
      <c r="H54" s="8"/>
      <c r="I54" s="8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29"/>
    </row>
    <row r="55" spans="1:47" ht="12" customHeight="1" x14ac:dyDescent="0.25">
      <c r="A55" s="24"/>
      <c r="C55" s="2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29"/>
    </row>
    <row r="56" spans="1:47" ht="12" customHeight="1" x14ac:dyDescent="0.25">
      <c r="A56" s="24"/>
      <c r="C56" s="28"/>
      <c r="D56" s="30" t="s">
        <v>140</v>
      </c>
      <c r="E56" s="8"/>
      <c r="F56" s="8"/>
      <c r="G56" s="8"/>
      <c r="H56" s="8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29"/>
    </row>
    <row r="57" spans="1:47" ht="12" customHeight="1" x14ac:dyDescent="0.25">
      <c r="A57" s="24"/>
      <c r="C57" s="2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29"/>
    </row>
    <row r="58" spans="1:47" ht="12" customHeight="1" x14ac:dyDescent="0.25">
      <c r="A58" s="24"/>
      <c r="C58" s="28"/>
      <c r="D58" s="61" t="s">
        <v>460</v>
      </c>
      <c r="E58" s="58"/>
      <c r="F58" s="58"/>
      <c r="G58" s="58"/>
      <c r="H58" s="59"/>
      <c r="I58" s="59"/>
      <c r="J58" s="59"/>
      <c r="K58" s="59"/>
      <c r="L58" s="59"/>
      <c r="M58" s="59"/>
      <c r="N58" s="59"/>
      <c r="O58" s="59"/>
      <c r="P58" s="59"/>
      <c r="Q58" s="60"/>
      <c r="R58" s="8"/>
      <c r="S58" s="8"/>
      <c r="T58" s="8"/>
      <c r="U58" s="8"/>
      <c r="V58" s="8"/>
      <c r="W58" s="8"/>
      <c r="X58" s="8"/>
      <c r="Y58" s="40" t="s">
        <v>141</v>
      </c>
      <c r="Z58" s="8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114"/>
      <c r="AM58" s="114"/>
      <c r="AN58" s="114"/>
      <c r="AO58" s="114"/>
      <c r="AP58" s="114"/>
      <c r="AQ58" s="114"/>
      <c r="AR58" s="114"/>
      <c r="AS58" s="114"/>
      <c r="AT58" s="37"/>
      <c r="AU58" s="29"/>
    </row>
    <row r="59" spans="1:47" ht="12" customHeight="1" x14ac:dyDescent="0.25">
      <c r="A59" s="24"/>
      <c r="C59" s="28"/>
      <c r="D59" s="119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1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29"/>
    </row>
    <row r="60" spans="1:47" ht="12" customHeight="1" x14ac:dyDescent="0.25">
      <c r="A60" s="24"/>
      <c r="C60" s="28"/>
      <c r="D60" s="119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1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29"/>
    </row>
    <row r="61" spans="1:47" ht="12" customHeight="1" x14ac:dyDescent="0.25">
      <c r="A61" s="24"/>
      <c r="C61" s="28"/>
      <c r="D61" s="119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1"/>
      <c r="R61" s="8"/>
      <c r="S61" s="8"/>
      <c r="T61" s="8"/>
      <c r="U61" s="8"/>
      <c r="V61" s="8"/>
      <c r="W61" s="8"/>
      <c r="X61" s="8"/>
      <c r="Y61" s="40" t="s">
        <v>142</v>
      </c>
      <c r="Z61" s="8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115"/>
      <c r="AM61" s="115"/>
      <c r="AN61" s="115"/>
      <c r="AO61" s="115"/>
      <c r="AP61" s="115"/>
      <c r="AQ61" s="115"/>
      <c r="AR61" s="115"/>
      <c r="AS61" s="115"/>
      <c r="AT61" s="37"/>
      <c r="AU61" s="29"/>
    </row>
    <row r="62" spans="1:47" ht="12" customHeight="1" x14ac:dyDescent="0.25">
      <c r="A62" s="24"/>
      <c r="C62" s="28"/>
      <c r="D62" s="119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1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29"/>
    </row>
    <row r="63" spans="1:47" ht="12" customHeight="1" x14ac:dyDescent="0.25">
      <c r="A63" s="24"/>
      <c r="C63" s="28"/>
      <c r="D63" s="119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1"/>
      <c r="R63" s="8"/>
      <c r="S63" s="8"/>
      <c r="T63" s="8"/>
      <c r="U63" s="8"/>
      <c r="V63" s="8"/>
      <c r="W63" s="8"/>
      <c r="X63" s="8"/>
      <c r="Y63" s="40" t="s">
        <v>143</v>
      </c>
      <c r="Z63" s="8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116" t="s">
        <v>471</v>
      </c>
      <c r="AM63" s="116"/>
      <c r="AN63" s="116"/>
      <c r="AO63" s="116"/>
      <c r="AP63" s="116"/>
      <c r="AQ63" s="116"/>
      <c r="AR63" s="116"/>
      <c r="AS63" s="116"/>
      <c r="AT63" s="37"/>
      <c r="AU63" s="29"/>
    </row>
    <row r="64" spans="1:47" ht="12" customHeight="1" x14ac:dyDescent="0.25">
      <c r="A64" s="24"/>
      <c r="C64" s="28"/>
      <c r="D64" s="119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1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29"/>
    </row>
    <row r="65" spans="1:47" ht="12" customHeight="1" x14ac:dyDescent="0.25">
      <c r="A65" s="24"/>
      <c r="C65" s="28"/>
      <c r="D65" s="122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4"/>
      <c r="R65" s="8"/>
      <c r="S65" s="8"/>
      <c r="T65" s="8"/>
      <c r="U65" s="8"/>
      <c r="V65" s="8"/>
      <c r="W65" s="8"/>
      <c r="X65" s="8"/>
      <c r="Y65" s="40" t="s">
        <v>144</v>
      </c>
      <c r="Z65" s="8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117" t="s">
        <v>663</v>
      </c>
      <c r="AM65" s="117"/>
      <c r="AN65" s="117"/>
      <c r="AO65" s="117"/>
      <c r="AP65" s="117"/>
      <c r="AQ65" s="117"/>
      <c r="AR65" s="117"/>
      <c r="AS65" s="117"/>
      <c r="AT65" s="37"/>
      <c r="AU65" s="29"/>
    </row>
    <row r="66" spans="1:47" ht="12" customHeight="1" thickBot="1" x14ac:dyDescent="0.3">
      <c r="A66" s="24"/>
      <c r="C66" s="31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3"/>
    </row>
    <row r="67" spans="1:47" ht="11.25" customHeight="1" x14ac:dyDescent="0.25">
      <c r="A67" s="24"/>
    </row>
    <row r="68" spans="1:47" ht="11.25" customHeight="1" x14ac:dyDescent="0.25">
      <c r="A68" s="24"/>
    </row>
    <row r="69" spans="1:47" ht="11.25" customHeight="1" x14ac:dyDescent="0.25">
      <c r="A69" s="24"/>
    </row>
    <row r="70" spans="1:47" ht="11.25" customHeight="1" x14ac:dyDescent="0.25">
      <c r="A70" s="24"/>
    </row>
    <row r="71" spans="1:47" ht="11.25" customHeight="1" x14ac:dyDescent="0.25">
      <c r="A71" s="24"/>
    </row>
    <row r="72" spans="1:47" ht="11.25" customHeight="1" x14ac:dyDescent="0.25">
      <c r="A72" s="24"/>
    </row>
    <row r="73" spans="1:47" ht="11.25" customHeight="1" x14ac:dyDescent="0.25">
      <c r="A73" s="24"/>
    </row>
    <row r="74" spans="1:47" ht="11.25" customHeight="1" x14ac:dyDescent="0.25">
      <c r="A74" s="24"/>
    </row>
    <row r="75" spans="1:47" ht="11.25" customHeight="1" x14ac:dyDescent="0.25">
      <c r="A75" s="24"/>
    </row>
    <row r="76" spans="1:47" ht="11.25" customHeight="1" x14ac:dyDescent="0.25">
      <c r="A76" s="24"/>
    </row>
    <row r="77" spans="1:47" ht="11.25" customHeight="1" x14ac:dyDescent="0.25">
      <c r="A77" s="24"/>
    </row>
    <row r="78" spans="1:47" ht="11.25" customHeight="1" x14ac:dyDescent="0.25">
      <c r="A78" s="24"/>
    </row>
    <row r="79" spans="1:47" ht="11.25" customHeight="1" x14ac:dyDescent="0.25"/>
    <row r="80" spans="1:47" ht="11.25" customHeight="1" x14ac:dyDescent="0.25"/>
    <row r="81" ht="11.25" customHeight="1" x14ac:dyDescent="0.25"/>
    <row r="82" ht="11.25" customHeight="1" x14ac:dyDescent="0.25"/>
    <row r="83" ht="11.25" customHeight="1" x14ac:dyDescent="0.25"/>
    <row r="84" ht="11.25" customHeight="1" x14ac:dyDescent="0.25"/>
    <row r="85" ht="11.25" customHeight="1" x14ac:dyDescent="0.25"/>
    <row r="86" ht="11.25" customHeight="1" x14ac:dyDescent="0.25"/>
    <row r="87" ht="11.25" customHeight="1" x14ac:dyDescent="0.25"/>
    <row r="88" ht="11.25" customHeight="1" x14ac:dyDescent="0.25"/>
    <row r="89" ht="11.25" customHeight="1" x14ac:dyDescent="0.25"/>
    <row r="90" ht="11.25" customHeight="1" x14ac:dyDescent="0.25"/>
    <row r="91" ht="11.25" customHeight="1" x14ac:dyDescent="0.25"/>
    <row r="92" ht="11.25" customHeight="1" x14ac:dyDescent="0.25"/>
    <row r="93" ht="11.25" customHeight="1" x14ac:dyDescent="0.25"/>
    <row r="94" ht="11.25" customHeight="1" x14ac:dyDescent="0.25"/>
    <row r="95" ht="11.25" customHeight="1" x14ac:dyDescent="0.25"/>
    <row r="96" ht="11.25" customHeight="1" x14ac:dyDescent="0.25"/>
    <row r="97" ht="11.25" customHeight="1" x14ac:dyDescent="0.25"/>
    <row r="98" ht="11.25" customHeight="1" x14ac:dyDescent="0.25"/>
    <row r="99" ht="11.25" customHeight="1" x14ac:dyDescent="0.25"/>
    <row r="100" ht="11.25" customHeight="1" x14ac:dyDescent="0.25"/>
    <row r="101" ht="11.25" customHeight="1" x14ac:dyDescent="0.25"/>
    <row r="102" ht="11.25" customHeight="1" x14ac:dyDescent="0.25"/>
    <row r="103" ht="11.25" customHeight="1" x14ac:dyDescent="0.25"/>
    <row r="104" ht="11.25" customHeight="1" x14ac:dyDescent="0.25"/>
    <row r="105" ht="11.25" customHeight="1" x14ac:dyDescent="0.25"/>
    <row r="106" ht="11.25" customHeight="1" x14ac:dyDescent="0.25"/>
    <row r="107" ht="11.25" customHeight="1" x14ac:dyDescent="0.25"/>
    <row r="108" ht="11.25" customHeight="1" x14ac:dyDescent="0.25"/>
    <row r="109" ht="11.25" customHeight="1" x14ac:dyDescent="0.25"/>
    <row r="110" ht="11.25" customHeight="1" x14ac:dyDescent="0.25"/>
    <row r="111" ht="11.25" customHeight="1" x14ac:dyDescent="0.25"/>
    <row r="112" ht="11.25" customHeight="1" x14ac:dyDescent="0.25"/>
    <row r="113" ht="11.25" customHeight="1" x14ac:dyDescent="0.25"/>
    <row r="114" ht="11.25" customHeight="1" x14ac:dyDescent="0.25"/>
    <row r="115" ht="11.25" customHeight="1" x14ac:dyDescent="0.25"/>
    <row r="116" ht="11.25" customHeight="1" x14ac:dyDescent="0.25"/>
    <row r="117" ht="11.25" customHeight="1" x14ac:dyDescent="0.25"/>
    <row r="118" ht="11.25" customHeight="1" x14ac:dyDescent="0.25"/>
    <row r="119" ht="11.25" customHeight="1" x14ac:dyDescent="0.25"/>
    <row r="120" ht="11.25" customHeight="1" x14ac:dyDescent="0.25"/>
    <row r="121" ht="11.25" customHeight="1" x14ac:dyDescent="0.25"/>
    <row r="122" ht="11.25" customHeight="1" x14ac:dyDescent="0.25"/>
    <row r="123" ht="11.25" customHeight="1" x14ac:dyDescent="0.25"/>
    <row r="124" ht="11.25" customHeight="1" x14ac:dyDescent="0.25"/>
    <row r="125" ht="11.25" customHeight="1" x14ac:dyDescent="0.25"/>
    <row r="126" ht="11.25" customHeight="1" x14ac:dyDescent="0.25"/>
    <row r="127" ht="11.25" customHeight="1" x14ac:dyDescent="0.25"/>
    <row r="128" ht="11.25" customHeight="1" x14ac:dyDescent="0.25"/>
    <row r="129" ht="11.25" customHeight="1" x14ac:dyDescent="0.25"/>
    <row r="130" ht="11.25" customHeight="1" x14ac:dyDescent="0.25"/>
    <row r="131" ht="11.25" customHeight="1" x14ac:dyDescent="0.25"/>
    <row r="132" ht="11.25" customHeight="1" x14ac:dyDescent="0.25"/>
    <row r="133" ht="11.25" customHeight="1" x14ac:dyDescent="0.25"/>
    <row r="134" ht="11.25" customHeight="1" x14ac:dyDescent="0.25"/>
    <row r="135" ht="11.25" customHeight="1" x14ac:dyDescent="0.25"/>
    <row r="136" ht="11.25" customHeight="1" x14ac:dyDescent="0.25"/>
    <row r="137" ht="11.25" customHeight="1" x14ac:dyDescent="0.25"/>
    <row r="138" ht="11.25" customHeight="1" x14ac:dyDescent="0.25"/>
    <row r="139" ht="11.25" customHeight="1" x14ac:dyDescent="0.25"/>
    <row r="140" ht="11.25" customHeight="1" x14ac:dyDescent="0.25"/>
    <row r="141" ht="11.25" customHeight="1" x14ac:dyDescent="0.25"/>
    <row r="142" ht="11.25" customHeight="1" x14ac:dyDescent="0.25"/>
    <row r="143" ht="11.25" customHeight="1" x14ac:dyDescent="0.25"/>
    <row r="144" ht="11.25" customHeight="1" x14ac:dyDescent="0.25"/>
    <row r="145" ht="11.25" customHeight="1" x14ac:dyDescent="0.25"/>
    <row r="146" ht="11.25" customHeight="1" x14ac:dyDescent="0.25"/>
    <row r="147" ht="11.25" customHeight="1" x14ac:dyDescent="0.25"/>
    <row r="148" ht="11.25" customHeight="1" x14ac:dyDescent="0.25"/>
    <row r="149" ht="11.25" customHeight="1" x14ac:dyDescent="0.25"/>
    <row r="150" ht="11.25" customHeight="1" x14ac:dyDescent="0.25"/>
    <row r="151" ht="11.25" customHeight="1" x14ac:dyDescent="0.25"/>
    <row r="152" ht="11.25" customHeight="1" x14ac:dyDescent="0.25"/>
    <row r="153" ht="11.25" customHeight="1" x14ac:dyDescent="0.25"/>
    <row r="154" ht="11.25" customHeight="1" x14ac:dyDescent="0.25"/>
    <row r="155" ht="11.25" customHeight="1" x14ac:dyDescent="0.25"/>
    <row r="156" ht="11.25" customHeight="1" x14ac:dyDescent="0.25"/>
    <row r="157" ht="11.25" customHeight="1" x14ac:dyDescent="0.25"/>
    <row r="158" ht="11.25" customHeight="1" x14ac:dyDescent="0.25"/>
    <row r="159" ht="11.25" customHeight="1" x14ac:dyDescent="0.25"/>
    <row r="160" ht="11.25" customHeight="1" x14ac:dyDescent="0.25"/>
    <row r="161" ht="11.25" customHeight="1" x14ac:dyDescent="0.25"/>
    <row r="162" ht="11.25" customHeight="1" x14ac:dyDescent="0.25"/>
    <row r="163" ht="11.25" customHeight="1" x14ac:dyDescent="0.25"/>
    <row r="164" ht="11.25" customHeight="1" x14ac:dyDescent="0.25"/>
    <row r="165" ht="11.25" customHeight="1" x14ac:dyDescent="0.25"/>
    <row r="166" ht="11.25" customHeight="1" x14ac:dyDescent="0.25"/>
    <row r="167" ht="11.25" customHeight="1" x14ac:dyDescent="0.25"/>
    <row r="168" ht="11.25" customHeight="1" x14ac:dyDescent="0.25"/>
    <row r="169" ht="11.25" customHeight="1" x14ac:dyDescent="0.25"/>
    <row r="170" ht="11.25" customHeight="1" x14ac:dyDescent="0.25"/>
    <row r="171" ht="11.25" customHeight="1" x14ac:dyDescent="0.25"/>
    <row r="172" ht="11.25" customHeight="1" x14ac:dyDescent="0.25"/>
    <row r="173" ht="11.25" customHeight="1" x14ac:dyDescent="0.25"/>
    <row r="174" ht="11.25" customHeight="1" x14ac:dyDescent="0.25"/>
    <row r="175" ht="11.25" customHeight="1" x14ac:dyDescent="0.25"/>
    <row r="176" ht="11.25" customHeight="1" x14ac:dyDescent="0.25"/>
    <row r="177" ht="11.25" customHeight="1" x14ac:dyDescent="0.25"/>
    <row r="178" ht="11.25" customHeight="1" x14ac:dyDescent="0.25"/>
    <row r="179" ht="11.25" customHeight="1" x14ac:dyDescent="0.25"/>
    <row r="180" ht="11.25" customHeight="1" x14ac:dyDescent="0.25"/>
    <row r="181" ht="11.25" customHeight="1" x14ac:dyDescent="0.25"/>
    <row r="182" ht="11.25" customHeight="1" x14ac:dyDescent="0.25"/>
    <row r="183" ht="11.25" customHeight="1" x14ac:dyDescent="0.25"/>
    <row r="184" ht="11.25" customHeight="1" x14ac:dyDescent="0.25"/>
    <row r="185" ht="11.25" customHeight="1" x14ac:dyDescent="0.25"/>
    <row r="186" ht="11.25" customHeight="1" x14ac:dyDescent="0.25"/>
    <row r="187" ht="11.25" customHeight="1" x14ac:dyDescent="0.25"/>
    <row r="188" ht="11.25" customHeight="1" x14ac:dyDescent="0.25"/>
    <row r="189" ht="11.25" customHeight="1" x14ac:dyDescent="0.25"/>
    <row r="190" ht="11.25" customHeight="1" x14ac:dyDescent="0.25"/>
    <row r="191" ht="11.25" customHeight="1" x14ac:dyDescent="0.25"/>
    <row r="192" ht="11.25" customHeight="1" x14ac:dyDescent="0.25"/>
    <row r="193" ht="11.25" customHeight="1" x14ac:dyDescent="0.25"/>
    <row r="194" ht="11.25" customHeight="1" x14ac:dyDescent="0.25"/>
    <row r="195" ht="11.25" customHeight="1" x14ac:dyDescent="0.25"/>
    <row r="196" ht="11.25" customHeight="1" x14ac:dyDescent="0.25"/>
    <row r="197" ht="11.25" customHeight="1" x14ac:dyDescent="0.25"/>
    <row r="198" ht="11.25" customHeight="1" x14ac:dyDescent="0.25"/>
    <row r="199" ht="11.25" customHeight="1" x14ac:dyDescent="0.25"/>
    <row r="200" ht="11.25" customHeight="1" x14ac:dyDescent="0.25"/>
    <row r="201" ht="11.25" customHeight="1" x14ac:dyDescent="0.25"/>
    <row r="202" ht="11.25" customHeight="1" x14ac:dyDescent="0.25"/>
    <row r="203" ht="11.25" customHeight="1" x14ac:dyDescent="0.25"/>
    <row r="204" ht="11.25" customHeight="1" x14ac:dyDescent="0.25"/>
    <row r="205" ht="11.25" customHeight="1" x14ac:dyDescent="0.25"/>
    <row r="206" ht="11.25" customHeight="1" x14ac:dyDescent="0.25"/>
    <row r="207" ht="11.25" customHeight="1" x14ac:dyDescent="0.25"/>
    <row r="208" ht="11.25" customHeight="1" x14ac:dyDescent="0.25"/>
    <row r="209" ht="11.25" customHeight="1" x14ac:dyDescent="0.25"/>
    <row r="210" ht="11.25" customHeight="1" x14ac:dyDescent="0.25"/>
    <row r="211" ht="11.25" customHeight="1" x14ac:dyDescent="0.25"/>
    <row r="212" ht="11.25" customHeight="1" x14ac:dyDescent="0.25"/>
    <row r="213" ht="11.25" customHeight="1" x14ac:dyDescent="0.25"/>
    <row r="214" ht="11.25" customHeight="1" x14ac:dyDescent="0.25"/>
    <row r="215" ht="11.25" customHeight="1" x14ac:dyDescent="0.25"/>
    <row r="216" ht="11.25" customHeight="1" x14ac:dyDescent="0.25"/>
    <row r="217" ht="11.25" customHeight="1" x14ac:dyDescent="0.25"/>
    <row r="218" ht="11.25" customHeight="1" x14ac:dyDescent="0.25"/>
    <row r="219" ht="11.25" customHeight="1" x14ac:dyDescent="0.25"/>
    <row r="220" ht="11.25" customHeight="1" x14ac:dyDescent="0.25"/>
    <row r="221" ht="11.25" customHeight="1" x14ac:dyDescent="0.25"/>
    <row r="222" ht="11.25" customHeight="1" x14ac:dyDescent="0.25"/>
    <row r="223" ht="11.25" customHeight="1" x14ac:dyDescent="0.25"/>
    <row r="224" ht="11.25" customHeight="1" x14ac:dyDescent="0.25"/>
    <row r="225" ht="11.25" customHeight="1" x14ac:dyDescent="0.25"/>
    <row r="226" ht="11.25" customHeight="1" x14ac:dyDescent="0.25"/>
    <row r="227" ht="11.25" customHeight="1" x14ac:dyDescent="0.25"/>
    <row r="228" ht="11.25" customHeight="1" x14ac:dyDescent="0.25"/>
    <row r="229" ht="11.25" customHeight="1" x14ac:dyDescent="0.25"/>
    <row r="230" ht="11.25" customHeight="1" x14ac:dyDescent="0.25"/>
    <row r="231" ht="11.25" customHeight="1" x14ac:dyDescent="0.25"/>
    <row r="232" ht="11.25" customHeight="1" x14ac:dyDescent="0.25"/>
    <row r="233" ht="11.25" customHeight="1" x14ac:dyDescent="0.25"/>
    <row r="234" ht="11.25" customHeight="1" x14ac:dyDescent="0.25"/>
    <row r="235" ht="11.25" customHeight="1" x14ac:dyDescent="0.25"/>
    <row r="236" ht="11.25" customHeight="1" x14ac:dyDescent="0.25"/>
    <row r="237" ht="11.25" customHeight="1" x14ac:dyDescent="0.25"/>
    <row r="238" ht="11.25" customHeight="1" x14ac:dyDescent="0.25"/>
    <row r="239" ht="11.25" customHeight="1" x14ac:dyDescent="0.25"/>
    <row r="240" ht="11.25" customHeight="1" x14ac:dyDescent="0.25"/>
    <row r="241" ht="11.25" customHeight="1" x14ac:dyDescent="0.25"/>
    <row r="242" ht="11.25" customHeight="1" x14ac:dyDescent="0.25"/>
    <row r="243" ht="11.25" customHeight="1" x14ac:dyDescent="0.25"/>
    <row r="244" ht="11.25" customHeight="1" x14ac:dyDescent="0.25"/>
    <row r="245" ht="11.25" customHeight="1" x14ac:dyDescent="0.25"/>
    <row r="246" ht="11.25" customHeight="1" x14ac:dyDescent="0.25"/>
    <row r="247" ht="11.25" customHeight="1" x14ac:dyDescent="0.25"/>
    <row r="248" ht="11.25" customHeight="1" x14ac:dyDescent="0.25"/>
    <row r="249" ht="11.25" customHeight="1" x14ac:dyDescent="0.25"/>
    <row r="250" ht="11.25" customHeight="1" x14ac:dyDescent="0.25"/>
    <row r="251" ht="11.25" customHeight="1" x14ac:dyDescent="0.25"/>
    <row r="252" ht="11.25" customHeight="1" x14ac:dyDescent="0.25"/>
    <row r="253" ht="11.25" customHeight="1" x14ac:dyDescent="0.25"/>
    <row r="254" ht="11.25" customHeight="1" x14ac:dyDescent="0.25"/>
    <row r="255" ht="11.25" customHeight="1" x14ac:dyDescent="0.25"/>
    <row r="256" ht="11.25" customHeight="1" x14ac:dyDescent="0.25"/>
    <row r="257" ht="11.25" customHeight="1" x14ac:dyDescent="0.25"/>
    <row r="258" ht="11.25" customHeight="1" x14ac:dyDescent="0.25"/>
    <row r="259" ht="11.25" customHeight="1" x14ac:dyDescent="0.25"/>
    <row r="260" ht="11.25" customHeight="1" x14ac:dyDescent="0.25"/>
    <row r="261" ht="11.25" customHeight="1" x14ac:dyDescent="0.25"/>
    <row r="262" ht="11.25" customHeight="1" x14ac:dyDescent="0.25"/>
    <row r="263" ht="11.25" customHeight="1" x14ac:dyDescent="0.25"/>
    <row r="264" ht="11.25" customHeight="1" x14ac:dyDescent="0.25"/>
    <row r="265" ht="11.25" customHeight="1" x14ac:dyDescent="0.25"/>
    <row r="266" ht="11.25" customHeight="1" x14ac:dyDescent="0.25"/>
    <row r="267" ht="11.25" customHeight="1" x14ac:dyDescent="0.25"/>
    <row r="268" ht="11.25" customHeight="1" x14ac:dyDescent="0.25"/>
    <row r="269" ht="11.25" customHeight="1" x14ac:dyDescent="0.25"/>
    <row r="270" ht="11.25" customHeight="1" x14ac:dyDescent="0.25"/>
    <row r="271" ht="11.25" customHeight="1" x14ac:dyDescent="0.25"/>
    <row r="272" ht="11.25" customHeight="1" x14ac:dyDescent="0.25"/>
    <row r="273" ht="11.25" customHeight="1" x14ac:dyDescent="0.25"/>
    <row r="274" ht="11.25" customHeight="1" x14ac:dyDescent="0.25"/>
    <row r="275" ht="11.25" customHeight="1" x14ac:dyDescent="0.25"/>
    <row r="276" ht="11.25" customHeight="1" x14ac:dyDescent="0.25"/>
    <row r="277" ht="11.25" customHeight="1" x14ac:dyDescent="0.25"/>
    <row r="278" ht="11.25" customHeight="1" x14ac:dyDescent="0.25"/>
    <row r="279" ht="11.25" customHeight="1" x14ac:dyDescent="0.25"/>
    <row r="280" ht="11.25" customHeight="1" x14ac:dyDescent="0.25"/>
    <row r="281" ht="11.25" customHeight="1" x14ac:dyDescent="0.25"/>
    <row r="282" ht="11.25" customHeight="1" x14ac:dyDescent="0.25"/>
    <row r="283" ht="11.25" customHeight="1" x14ac:dyDescent="0.25"/>
    <row r="284" ht="11.25" customHeight="1" x14ac:dyDescent="0.25"/>
    <row r="285" ht="11.25" customHeight="1" x14ac:dyDescent="0.25"/>
    <row r="286" ht="11.25" customHeight="1" x14ac:dyDescent="0.25"/>
    <row r="287" ht="11.25" customHeight="1" x14ac:dyDescent="0.25"/>
    <row r="288" ht="11.25" customHeight="1" x14ac:dyDescent="0.25"/>
    <row r="289" ht="11.25" customHeight="1" x14ac:dyDescent="0.25"/>
    <row r="290" ht="11.25" customHeight="1" x14ac:dyDescent="0.25"/>
    <row r="291" ht="11.25" customHeight="1" x14ac:dyDescent="0.25"/>
    <row r="292" ht="11.25" customHeight="1" x14ac:dyDescent="0.25"/>
    <row r="293" ht="11.25" customHeight="1" x14ac:dyDescent="0.25"/>
    <row r="294" ht="11.25" customHeight="1" x14ac:dyDescent="0.25"/>
    <row r="295" ht="11.25" customHeight="1" x14ac:dyDescent="0.25"/>
    <row r="296" ht="11.25" customHeight="1" x14ac:dyDescent="0.25"/>
    <row r="297" ht="11.25" customHeight="1" x14ac:dyDescent="0.25"/>
    <row r="298" ht="11.25" customHeight="1" x14ac:dyDescent="0.25"/>
    <row r="299" ht="11.25" customHeight="1" x14ac:dyDescent="0.25"/>
    <row r="300" ht="11.25" customHeight="1" x14ac:dyDescent="0.25"/>
    <row r="301" ht="11.25" customHeight="1" x14ac:dyDescent="0.25"/>
    <row r="302" ht="11.25" customHeight="1" x14ac:dyDescent="0.25"/>
    <row r="303" ht="11.25" customHeight="1" x14ac:dyDescent="0.25"/>
    <row r="304" ht="11.25" customHeight="1" x14ac:dyDescent="0.25"/>
    <row r="305" ht="11.25" customHeight="1" x14ac:dyDescent="0.25"/>
    <row r="306" ht="11.25" customHeight="1" x14ac:dyDescent="0.25"/>
    <row r="307" ht="11.25" customHeight="1" x14ac:dyDescent="0.25"/>
    <row r="308" ht="11.25" customHeight="1" x14ac:dyDescent="0.25"/>
    <row r="309" ht="11.25" customHeight="1" x14ac:dyDescent="0.25"/>
    <row r="310" ht="11.25" customHeight="1" x14ac:dyDescent="0.25"/>
    <row r="311" ht="11.25" customHeight="1" x14ac:dyDescent="0.25"/>
    <row r="312" ht="11.25" customHeight="1" x14ac:dyDescent="0.25"/>
    <row r="313" ht="11.25" customHeight="1" x14ac:dyDescent="0.25"/>
    <row r="314" ht="11.25" customHeight="1" x14ac:dyDescent="0.25"/>
    <row r="315" ht="11.25" customHeight="1" x14ac:dyDescent="0.25"/>
    <row r="316" ht="11.25" customHeight="1" x14ac:dyDescent="0.25"/>
    <row r="317" ht="11.25" customHeight="1" x14ac:dyDescent="0.25"/>
    <row r="318" ht="11.25" customHeight="1" x14ac:dyDescent="0.25"/>
    <row r="319" ht="11.25" customHeight="1" x14ac:dyDescent="0.25"/>
    <row r="320" ht="11.25" customHeight="1" x14ac:dyDescent="0.25"/>
    <row r="321" ht="11.25" customHeight="1" x14ac:dyDescent="0.25"/>
    <row r="322" ht="11.25" customHeight="1" x14ac:dyDescent="0.25"/>
    <row r="323" ht="11.25" customHeight="1" x14ac:dyDescent="0.25"/>
    <row r="324" ht="11.25" customHeight="1" x14ac:dyDescent="0.25"/>
    <row r="325" ht="11.25" customHeight="1" x14ac:dyDescent="0.25"/>
    <row r="326" ht="11.25" customHeight="1" x14ac:dyDescent="0.25"/>
    <row r="327" ht="11.25" customHeight="1" x14ac:dyDescent="0.25"/>
    <row r="328" ht="11.25" customHeight="1" x14ac:dyDescent="0.25"/>
    <row r="329" ht="11.25" customHeight="1" x14ac:dyDescent="0.25"/>
    <row r="330" ht="11.25" customHeight="1" x14ac:dyDescent="0.25"/>
    <row r="331" ht="11.25" customHeight="1" x14ac:dyDescent="0.25"/>
    <row r="332" ht="11.25" customHeight="1" x14ac:dyDescent="0.25"/>
    <row r="333" ht="11.25" customHeight="1" x14ac:dyDescent="0.25"/>
    <row r="334" ht="11.25" customHeight="1" x14ac:dyDescent="0.25"/>
    <row r="335" ht="11.25" customHeight="1" x14ac:dyDescent="0.25"/>
    <row r="336" ht="11.25" customHeight="1" x14ac:dyDescent="0.25"/>
    <row r="337" ht="11.25" customHeight="1" x14ac:dyDescent="0.25"/>
    <row r="338" ht="11.25" customHeight="1" x14ac:dyDescent="0.25"/>
    <row r="339" ht="11.25" customHeight="1" x14ac:dyDescent="0.25"/>
    <row r="340" ht="11.25" customHeight="1" x14ac:dyDescent="0.25"/>
    <row r="341" ht="11.25" customHeight="1" x14ac:dyDescent="0.25"/>
    <row r="342" ht="11.25" customHeight="1" x14ac:dyDescent="0.25"/>
    <row r="343" ht="11.25" customHeight="1" x14ac:dyDescent="0.25"/>
    <row r="344" ht="11.25" customHeight="1" x14ac:dyDescent="0.25"/>
    <row r="345" ht="11.25" customHeight="1" x14ac:dyDescent="0.25"/>
    <row r="346" ht="11.25" customHeight="1" x14ac:dyDescent="0.25"/>
    <row r="347" ht="11.25" customHeight="1" x14ac:dyDescent="0.25"/>
    <row r="348" ht="11.25" customHeight="1" x14ac:dyDescent="0.25"/>
    <row r="349" ht="11.25" customHeight="1" x14ac:dyDescent="0.25"/>
    <row r="350" ht="11.25" customHeight="1" x14ac:dyDescent="0.25"/>
    <row r="351" ht="11.25" customHeight="1" x14ac:dyDescent="0.25"/>
    <row r="352" ht="11.25" customHeight="1" x14ac:dyDescent="0.25"/>
    <row r="353" ht="11.25" customHeight="1" x14ac:dyDescent="0.25"/>
    <row r="354" ht="11.25" customHeight="1" x14ac:dyDescent="0.25"/>
    <row r="355" ht="11.25" customHeight="1" x14ac:dyDescent="0.25"/>
    <row r="356" ht="11.25" customHeight="1" x14ac:dyDescent="0.25"/>
    <row r="357" ht="11.25" customHeight="1" x14ac:dyDescent="0.25"/>
    <row r="358" ht="11.25" customHeight="1" x14ac:dyDescent="0.25"/>
    <row r="359" ht="11.25" customHeight="1" x14ac:dyDescent="0.25"/>
    <row r="360" ht="11.25" customHeight="1" x14ac:dyDescent="0.25"/>
    <row r="361" ht="11.25" customHeight="1" x14ac:dyDescent="0.25"/>
    <row r="362" ht="11.25" customHeight="1" x14ac:dyDescent="0.25"/>
    <row r="363" ht="11.25" customHeight="1" x14ac:dyDescent="0.25"/>
    <row r="364" ht="11.25" customHeight="1" x14ac:dyDescent="0.25"/>
    <row r="365" ht="11.25" customHeight="1" x14ac:dyDescent="0.25"/>
    <row r="366" ht="11.25" customHeight="1" x14ac:dyDescent="0.25"/>
    <row r="367" ht="11.25" customHeight="1" x14ac:dyDescent="0.25"/>
    <row r="368" ht="11.25" customHeight="1" x14ac:dyDescent="0.25"/>
    <row r="369" ht="11.25" customHeight="1" x14ac:dyDescent="0.25"/>
    <row r="370" ht="11.25" customHeight="1" x14ac:dyDescent="0.25"/>
    <row r="371" ht="11.25" customHeight="1" x14ac:dyDescent="0.25"/>
    <row r="372" ht="11.25" customHeight="1" x14ac:dyDescent="0.25"/>
    <row r="373" ht="11.25" customHeight="1" x14ac:dyDescent="0.25"/>
    <row r="374" ht="11.25" customHeight="1" x14ac:dyDescent="0.25"/>
    <row r="375" ht="11.25" customHeight="1" x14ac:dyDescent="0.25"/>
    <row r="376" ht="11.25" customHeight="1" x14ac:dyDescent="0.25"/>
    <row r="377" ht="11.25" customHeight="1" x14ac:dyDescent="0.25"/>
    <row r="378" ht="11.25" customHeight="1" x14ac:dyDescent="0.25"/>
    <row r="379" ht="11.25" customHeight="1" x14ac:dyDescent="0.25"/>
    <row r="380" ht="11.25" customHeight="1" x14ac:dyDescent="0.25"/>
    <row r="381" ht="11.25" customHeight="1" x14ac:dyDescent="0.25"/>
    <row r="382" ht="11.25" customHeight="1" x14ac:dyDescent="0.25"/>
    <row r="383" ht="11.25" customHeight="1" x14ac:dyDescent="0.25"/>
    <row r="384" ht="11.25" customHeight="1" x14ac:dyDescent="0.25"/>
    <row r="385" ht="11.25" customHeight="1" x14ac:dyDescent="0.25"/>
    <row r="386" ht="11.25" customHeight="1" x14ac:dyDescent="0.25"/>
    <row r="387" ht="11.25" customHeight="1" x14ac:dyDescent="0.25"/>
    <row r="388" ht="11.25" customHeight="1" x14ac:dyDescent="0.25"/>
    <row r="389" ht="11.25" customHeight="1" x14ac:dyDescent="0.25"/>
    <row r="390" ht="11.25" customHeight="1" x14ac:dyDescent="0.25"/>
    <row r="391" ht="11.25" customHeight="1" x14ac:dyDescent="0.25"/>
    <row r="392" ht="11.25" customHeight="1" x14ac:dyDescent="0.25"/>
    <row r="393" ht="11.25" customHeight="1" x14ac:dyDescent="0.25"/>
    <row r="394" ht="11.25" customHeight="1" x14ac:dyDescent="0.25"/>
    <row r="395" ht="11.25" customHeight="1" x14ac:dyDescent="0.25"/>
    <row r="396" ht="11.25" customHeight="1" x14ac:dyDescent="0.25"/>
    <row r="397" ht="11.25" customHeight="1" x14ac:dyDescent="0.25"/>
    <row r="398" ht="11.25" customHeight="1" x14ac:dyDescent="0.25"/>
    <row r="399" ht="11.25" customHeight="1" x14ac:dyDescent="0.25"/>
    <row r="400" ht="11.25" customHeight="1" x14ac:dyDescent="0.25"/>
    <row r="401" ht="11.25" customHeight="1" x14ac:dyDescent="0.25"/>
    <row r="402" ht="11.25" customHeight="1" x14ac:dyDescent="0.25"/>
    <row r="403" ht="11.25" customHeight="1" x14ac:dyDescent="0.25"/>
    <row r="404" ht="11.25" customHeight="1" x14ac:dyDescent="0.25"/>
    <row r="405" ht="11.25" customHeight="1" x14ac:dyDescent="0.25"/>
    <row r="406" ht="11.25" customHeight="1" x14ac:dyDescent="0.25"/>
    <row r="407" ht="11.25" customHeight="1" x14ac:dyDescent="0.25"/>
    <row r="408" ht="11.25" customHeight="1" x14ac:dyDescent="0.25"/>
    <row r="409" ht="11.25" customHeight="1" x14ac:dyDescent="0.25"/>
    <row r="410" ht="11.25" customHeight="1" x14ac:dyDescent="0.25"/>
    <row r="411" ht="11.25" customHeight="1" x14ac:dyDescent="0.25"/>
    <row r="412" ht="11.25" customHeight="1" x14ac:dyDescent="0.25"/>
    <row r="413" ht="11.25" customHeight="1" x14ac:dyDescent="0.25"/>
    <row r="414" ht="11.25" customHeight="1" x14ac:dyDescent="0.25"/>
    <row r="415" ht="11.25" customHeight="1" x14ac:dyDescent="0.25"/>
    <row r="416" ht="11.25" customHeight="1" x14ac:dyDescent="0.25"/>
    <row r="417" ht="11.25" customHeight="1" x14ac:dyDescent="0.25"/>
    <row r="418" ht="11.25" customHeight="1" x14ac:dyDescent="0.25"/>
    <row r="419" ht="11.25" customHeight="1" x14ac:dyDescent="0.25"/>
    <row r="420" ht="11.25" customHeight="1" x14ac:dyDescent="0.25"/>
    <row r="421" ht="11.25" customHeight="1" x14ac:dyDescent="0.25"/>
    <row r="422" ht="11.25" customHeight="1" x14ac:dyDescent="0.25"/>
    <row r="423" ht="11.25" customHeight="1" x14ac:dyDescent="0.25"/>
    <row r="424" ht="11.25" customHeight="1" x14ac:dyDescent="0.25"/>
    <row r="425" ht="11.25" customHeight="1" x14ac:dyDescent="0.25"/>
    <row r="426" ht="11.25" customHeight="1" x14ac:dyDescent="0.25"/>
    <row r="427" ht="11.25" customHeight="1" x14ac:dyDescent="0.25"/>
    <row r="428" ht="11.25" customHeight="1" x14ac:dyDescent="0.25"/>
    <row r="429" ht="11.25" customHeight="1" x14ac:dyDescent="0.25"/>
    <row r="430" ht="11.25" customHeight="1" x14ac:dyDescent="0.25"/>
    <row r="431" ht="11.25" customHeight="1" x14ac:dyDescent="0.25"/>
    <row r="432" ht="11.25" customHeight="1" x14ac:dyDescent="0.25"/>
    <row r="433" ht="11.25" customHeight="1" x14ac:dyDescent="0.25"/>
    <row r="434" ht="11.25" customHeight="1" x14ac:dyDescent="0.25"/>
    <row r="435" ht="11.25" customHeight="1" x14ac:dyDescent="0.25"/>
    <row r="436" ht="11.25" customHeight="1" x14ac:dyDescent="0.25"/>
    <row r="437" ht="11.25" customHeight="1" x14ac:dyDescent="0.25"/>
    <row r="438" ht="11.25" customHeight="1" x14ac:dyDescent="0.25"/>
    <row r="439" ht="11.25" customHeight="1" x14ac:dyDescent="0.25"/>
    <row r="440" ht="11.25" customHeight="1" x14ac:dyDescent="0.25"/>
    <row r="441" ht="11.25" customHeight="1" x14ac:dyDescent="0.25"/>
    <row r="442" ht="11.25" customHeight="1" x14ac:dyDescent="0.25"/>
    <row r="443" ht="11.25" customHeight="1" x14ac:dyDescent="0.25"/>
    <row r="444" ht="11.25" customHeight="1" x14ac:dyDescent="0.25"/>
    <row r="445" ht="11.25" customHeight="1" x14ac:dyDescent="0.25"/>
    <row r="446" ht="11.25" customHeight="1" x14ac:dyDescent="0.25"/>
    <row r="447" ht="11.25" customHeight="1" x14ac:dyDescent="0.25"/>
    <row r="448" ht="11.25" customHeight="1" x14ac:dyDescent="0.25"/>
    <row r="449" ht="11.25" customHeight="1" x14ac:dyDescent="0.25"/>
    <row r="450" ht="11.25" customHeight="1" x14ac:dyDescent="0.25"/>
    <row r="451" ht="11.25" customHeight="1" x14ac:dyDescent="0.25"/>
    <row r="452" ht="11.25" customHeight="1" x14ac:dyDescent="0.25"/>
    <row r="453" ht="11.25" customHeight="1" x14ac:dyDescent="0.25"/>
    <row r="454" ht="11.25" customHeight="1" x14ac:dyDescent="0.25"/>
    <row r="455" ht="11.25" customHeight="1" x14ac:dyDescent="0.25"/>
    <row r="456" ht="11.25" customHeight="1" x14ac:dyDescent="0.25"/>
    <row r="457" ht="11.25" customHeight="1" x14ac:dyDescent="0.25"/>
    <row r="458" ht="11.25" customHeight="1" x14ac:dyDescent="0.25"/>
    <row r="459" ht="11.25" customHeight="1" x14ac:dyDescent="0.25"/>
    <row r="460" ht="11.25" customHeight="1" x14ac:dyDescent="0.25"/>
    <row r="461" ht="11.25" customHeight="1" x14ac:dyDescent="0.25"/>
    <row r="462" ht="11.25" customHeight="1" x14ac:dyDescent="0.25"/>
    <row r="463" ht="11.25" customHeight="1" x14ac:dyDescent="0.25"/>
    <row r="464" ht="11.25" customHeight="1" x14ac:dyDescent="0.25"/>
    <row r="465" ht="11.25" customHeight="1" x14ac:dyDescent="0.25"/>
    <row r="466" ht="11.25" customHeight="1" x14ac:dyDescent="0.25"/>
    <row r="467" ht="11.25" customHeight="1" x14ac:dyDescent="0.25"/>
    <row r="468" ht="11.25" customHeight="1" x14ac:dyDescent="0.25"/>
    <row r="469" ht="11.25" customHeight="1" x14ac:dyDescent="0.25"/>
    <row r="470" ht="11.25" customHeight="1" x14ac:dyDescent="0.25"/>
    <row r="471" ht="11.25" customHeight="1" x14ac:dyDescent="0.25"/>
    <row r="472" ht="11.25" customHeight="1" x14ac:dyDescent="0.25"/>
    <row r="473" ht="11.25" customHeight="1" x14ac:dyDescent="0.25"/>
    <row r="474" ht="11.25" customHeight="1" x14ac:dyDescent="0.25"/>
    <row r="475" ht="11.25" customHeight="1" x14ac:dyDescent="0.25"/>
    <row r="476" ht="11.25" customHeight="1" x14ac:dyDescent="0.25"/>
    <row r="477" ht="11.25" customHeight="1" x14ac:dyDescent="0.25"/>
    <row r="478" ht="11.25" customHeight="1" x14ac:dyDescent="0.25"/>
    <row r="479" ht="11.25" customHeight="1" x14ac:dyDescent="0.25"/>
    <row r="480" ht="11.25" customHeight="1" x14ac:dyDescent="0.25"/>
    <row r="481" ht="11.25" customHeight="1" x14ac:dyDescent="0.25"/>
    <row r="482" ht="11.25" customHeight="1" x14ac:dyDescent="0.25"/>
    <row r="483" ht="11.25" customHeight="1" x14ac:dyDescent="0.25"/>
    <row r="484" ht="11.25" customHeight="1" x14ac:dyDescent="0.25"/>
    <row r="485" ht="11.25" customHeight="1" x14ac:dyDescent="0.25"/>
    <row r="486" ht="11.25" customHeight="1" x14ac:dyDescent="0.25"/>
    <row r="487" ht="11.25" customHeight="1" x14ac:dyDescent="0.25"/>
    <row r="488" ht="11.25" customHeight="1" x14ac:dyDescent="0.25"/>
    <row r="489" ht="11.25" customHeight="1" x14ac:dyDescent="0.25"/>
    <row r="490" ht="11.25" customHeight="1" x14ac:dyDescent="0.25"/>
    <row r="491" ht="11.25" customHeight="1" x14ac:dyDescent="0.25"/>
    <row r="492" ht="11.25" customHeight="1" x14ac:dyDescent="0.25"/>
    <row r="493" ht="11.25" customHeight="1" x14ac:dyDescent="0.25"/>
    <row r="494" ht="11.25" customHeight="1" x14ac:dyDescent="0.25"/>
    <row r="495" ht="11.25" customHeight="1" x14ac:dyDescent="0.25"/>
    <row r="496" ht="11.25" customHeight="1" x14ac:dyDescent="0.25"/>
    <row r="497" ht="11.25" customHeight="1" x14ac:dyDescent="0.25"/>
    <row r="498" ht="11.25" customHeight="1" x14ac:dyDescent="0.25"/>
    <row r="499" ht="11.25" customHeight="1" x14ac:dyDescent="0.25"/>
    <row r="500" ht="11.25" customHeight="1" x14ac:dyDescent="0.25"/>
    <row r="501" ht="11.25" customHeight="1" x14ac:dyDescent="0.25"/>
    <row r="502" ht="11.25" customHeight="1" x14ac:dyDescent="0.25"/>
    <row r="503" ht="11.25" customHeight="1" x14ac:dyDescent="0.25"/>
    <row r="504" ht="11.25" customHeight="1" x14ac:dyDescent="0.25"/>
    <row r="505" ht="11.25" customHeight="1" x14ac:dyDescent="0.25"/>
    <row r="506" ht="11.25" customHeight="1" x14ac:dyDescent="0.25"/>
    <row r="507" ht="11.25" customHeight="1" x14ac:dyDescent="0.25"/>
    <row r="508" ht="11.25" customHeight="1" x14ac:dyDescent="0.25"/>
    <row r="509" ht="11.25" customHeight="1" x14ac:dyDescent="0.25"/>
    <row r="510" ht="11.25" customHeight="1" x14ac:dyDescent="0.25"/>
    <row r="511" ht="11.25" customHeight="1" x14ac:dyDescent="0.25"/>
    <row r="512" ht="11.25" customHeight="1" x14ac:dyDescent="0.25"/>
    <row r="513" ht="11.25" customHeight="1" x14ac:dyDescent="0.25"/>
    <row r="514" ht="11.25" customHeight="1" x14ac:dyDescent="0.25"/>
    <row r="515" ht="11.25" customHeight="1" x14ac:dyDescent="0.25"/>
    <row r="516" ht="11.25" customHeight="1" x14ac:dyDescent="0.25"/>
    <row r="517" ht="11.25" customHeight="1" x14ac:dyDescent="0.25"/>
    <row r="518" ht="11.25" customHeight="1" x14ac:dyDescent="0.25"/>
    <row r="519" ht="11.25" customHeight="1" x14ac:dyDescent="0.25"/>
    <row r="520" ht="11.25" customHeight="1" x14ac:dyDescent="0.25"/>
    <row r="521" ht="11.25" customHeight="1" x14ac:dyDescent="0.25"/>
    <row r="522" ht="11.25" customHeight="1" x14ac:dyDescent="0.25"/>
    <row r="523" ht="11.25" customHeight="1" x14ac:dyDescent="0.25"/>
    <row r="524" ht="11.25" customHeight="1" x14ac:dyDescent="0.25"/>
    <row r="525" ht="11.25" customHeight="1" x14ac:dyDescent="0.25"/>
    <row r="526" ht="11.25" customHeight="1" x14ac:dyDescent="0.25"/>
    <row r="527" ht="11.25" customHeight="1" x14ac:dyDescent="0.25"/>
    <row r="528" ht="11.25" customHeight="1" x14ac:dyDescent="0.25"/>
    <row r="529" ht="11.25" customHeight="1" x14ac:dyDescent="0.25"/>
    <row r="530" ht="11.25" customHeight="1" x14ac:dyDescent="0.25"/>
    <row r="531" ht="11.25" customHeight="1" x14ac:dyDescent="0.25"/>
    <row r="532" ht="11.25" customHeight="1" x14ac:dyDescent="0.25"/>
    <row r="533" ht="11.25" customHeight="1" x14ac:dyDescent="0.25"/>
    <row r="534" ht="11.25" customHeight="1" x14ac:dyDescent="0.25"/>
    <row r="535" ht="11.25" customHeight="1" x14ac:dyDescent="0.25"/>
    <row r="536" ht="11.25" customHeight="1" x14ac:dyDescent="0.25"/>
    <row r="537" ht="11.25" customHeight="1" x14ac:dyDescent="0.25"/>
    <row r="538" ht="11.25" customHeight="1" x14ac:dyDescent="0.25"/>
    <row r="539" ht="11.25" customHeight="1" x14ac:dyDescent="0.25"/>
    <row r="540" ht="11.25" customHeight="1" x14ac:dyDescent="0.25"/>
    <row r="541" ht="11.25" customHeight="1" x14ac:dyDescent="0.25"/>
    <row r="542" ht="11.25" customHeight="1" x14ac:dyDescent="0.25"/>
    <row r="543" ht="11.25" customHeight="1" x14ac:dyDescent="0.25"/>
    <row r="544" ht="11.25" customHeight="1" x14ac:dyDescent="0.25"/>
    <row r="545" ht="11.25" customHeight="1" x14ac:dyDescent="0.25"/>
    <row r="546" ht="11.25" customHeight="1" x14ac:dyDescent="0.25"/>
    <row r="547" ht="11.25" customHeight="1" x14ac:dyDescent="0.25"/>
    <row r="548" ht="11.25" customHeight="1" x14ac:dyDescent="0.25"/>
    <row r="549" ht="11.25" customHeight="1" x14ac:dyDescent="0.25"/>
    <row r="550" ht="11.25" customHeight="1" x14ac:dyDescent="0.25"/>
    <row r="551" ht="11.25" customHeight="1" x14ac:dyDescent="0.25"/>
    <row r="552" ht="11.25" customHeight="1" x14ac:dyDescent="0.25"/>
    <row r="553" ht="11.25" customHeight="1" x14ac:dyDescent="0.25"/>
    <row r="554" ht="11.25" customHeight="1" x14ac:dyDescent="0.25"/>
    <row r="555" ht="11.25" customHeight="1" x14ac:dyDescent="0.25"/>
    <row r="556" ht="11.25" customHeight="1" x14ac:dyDescent="0.25"/>
    <row r="557" ht="11.25" customHeight="1" x14ac:dyDescent="0.25"/>
    <row r="558" ht="11.25" customHeight="1" x14ac:dyDescent="0.25"/>
    <row r="559" ht="11.25" customHeight="1" x14ac:dyDescent="0.25"/>
    <row r="560" ht="11.25" customHeight="1" x14ac:dyDescent="0.25"/>
    <row r="561" ht="11.25" customHeight="1" x14ac:dyDescent="0.25"/>
    <row r="562" ht="11.25" customHeight="1" x14ac:dyDescent="0.25"/>
    <row r="563" ht="11.25" customHeight="1" x14ac:dyDescent="0.25"/>
    <row r="564" ht="11.25" customHeight="1" x14ac:dyDescent="0.25"/>
    <row r="565" ht="11.25" customHeight="1" x14ac:dyDescent="0.25"/>
    <row r="566" ht="11.25" customHeight="1" x14ac:dyDescent="0.25"/>
    <row r="567" ht="11.25" customHeight="1" x14ac:dyDescent="0.25"/>
    <row r="568" ht="11.25" customHeight="1" x14ac:dyDescent="0.25"/>
    <row r="569" ht="11.25" customHeight="1" x14ac:dyDescent="0.25"/>
    <row r="570" ht="11.25" customHeight="1" x14ac:dyDescent="0.25"/>
    <row r="571" ht="11.25" customHeight="1" x14ac:dyDescent="0.25"/>
    <row r="572" ht="11.25" customHeight="1" x14ac:dyDescent="0.25"/>
    <row r="573" ht="11.25" customHeight="1" x14ac:dyDescent="0.25"/>
    <row r="574" ht="11.25" customHeight="1" x14ac:dyDescent="0.25"/>
    <row r="575" ht="11.25" customHeight="1" x14ac:dyDescent="0.25"/>
    <row r="576" ht="11.25" customHeight="1" x14ac:dyDescent="0.25"/>
    <row r="577" ht="11.25" customHeight="1" x14ac:dyDescent="0.25"/>
    <row r="578" ht="11.25" customHeight="1" x14ac:dyDescent="0.25"/>
    <row r="579" ht="11.25" customHeight="1" x14ac:dyDescent="0.25"/>
    <row r="580" ht="11.25" customHeight="1" x14ac:dyDescent="0.25"/>
    <row r="581" ht="11.25" customHeight="1" x14ac:dyDescent="0.25"/>
    <row r="582" ht="11.25" customHeight="1" x14ac:dyDescent="0.25"/>
    <row r="583" ht="11.25" customHeight="1" x14ac:dyDescent="0.25"/>
    <row r="584" ht="11.25" customHeight="1" x14ac:dyDescent="0.25"/>
    <row r="585" ht="11.25" customHeight="1" x14ac:dyDescent="0.25"/>
    <row r="586" ht="11.25" customHeight="1" x14ac:dyDescent="0.25"/>
    <row r="587" ht="11.25" customHeight="1" x14ac:dyDescent="0.25"/>
    <row r="588" ht="11.25" customHeight="1" x14ac:dyDescent="0.25"/>
    <row r="589" ht="11.25" customHeight="1" x14ac:dyDescent="0.25"/>
    <row r="590" ht="11.25" customHeight="1" x14ac:dyDescent="0.25"/>
    <row r="591" ht="11.25" customHeight="1" x14ac:dyDescent="0.25"/>
    <row r="592" ht="11.25" customHeight="1" x14ac:dyDescent="0.25"/>
    <row r="593" ht="11.25" customHeight="1" x14ac:dyDescent="0.25"/>
    <row r="594" ht="11.25" customHeight="1" x14ac:dyDescent="0.25"/>
    <row r="595" ht="11.25" customHeight="1" x14ac:dyDescent="0.25"/>
    <row r="596" ht="11.25" customHeight="1" x14ac:dyDescent="0.25"/>
    <row r="597" ht="11.25" customHeight="1" x14ac:dyDescent="0.25"/>
    <row r="598" ht="11.25" customHeight="1" x14ac:dyDescent="0.25"/>
    <row r="599" ht="11.25" customHeight="1" x14ac:dyDescent="0.25"/>
    <row r="600" ht="11.25" customHeight="1" x14ac:dyDescent="0.25"/>
    <row r="601" ht="11.25" customHeight="1" x14ac:dyDescent="0.25"/>
    <row r="602" ht="11.25" customHeight="1" x14ac:dyDescent="0.25"/>
    <row r="603" ht="11.25" customHeight="1" x14ac:dyDescent="0.25"/>
    <row r="604" ht="11.25" customHeight="1" x14ac:dyDescent="0.25"/>
    <row r="605" ht="11.25" customHeight="1" x14ac:dyDescent="0.25"/>
    <row r="606" ht="11.25" customHeight="1" x14ac:dyDescent="0.25"/>
    <row r="607" ht="11.25" customHeight="1" x14ac:dyDescent="0.25"/>
    <row r="608" ht="11.25" customHeight="1" x14ac:dyDescent="0.25"/>
    <row r="609" ht="11.25" customHeight="1" x14ac:dyDescent="0.25"/>
    <row r="610" ht="11.25" customHeight="1" x14ac:dyDescent="0.25"/>
    <row r="611" ht="11.25" customHeight="1" x14ac:dyDescent="0.25"/>
    <row r="612" ht="11.25" customHeight="1" x14ac:dyDescent="0.25"/>
    <row r="613" ht="11.25" customHeight="1" x14ac:dyDescent="0.25"/>
    <row r="614" ht="11.25" customHeight="1" x14ac:dyDescent="0.25"/>
    <row r="615" ht="11.25" customHeight="1" x14ac:dyDescent="0.25"/>
    <row r="616" ht="11.25" customHeight="1" x14ac:dyDescent="0.25"/>
    <row r="617" ht="11.25" customHeight="1" x14ac:dyDescent="0.25"/>
    <row r="618" ht="11.25" customHeight="1" x14ac:dyDescent="0.25"/>
    <row r="619" ht="11.25" customHeight="1" x14ac:dyDescent="0.25"/>
    <row r="620" ht="11.25" customHeight="1" x14ac:dyDescent="0.25"/>
    <row r="621" ht="11.25" customHeight="1" x14ac:dyDescent="0.25"/>
    <row r="622" ht="11.25" customHeight="1" x14ac:dyDescent="0.25"/>
    <row r="623" ht="11.25" customHeight="1" x14ac:dyDescent="0.25"/>
    <row r="624" ht="11.25" customHeight="1" x14ac:dyDescent="0.25"/>
    <row r="625" ht="11.25" customHeight="1" x14ac:dyDescent="0.25"/>
    <row r="626" ht="11.25" customHeight="1" x14ac:dyDescent="0.25"/>
    <row r="627" ht="11.25" customHeight="1" x14ac:dyDescent="0.25"/>
    <row r="628" ht="11.25" customHeight="1" x14ac:dyDescent="0.25"/>
    <row r="629" ht="11.25" customHeight="1" x14ac:dyDescent="0.25"/>
    <row r="630" ht="11.25" customHeight="1" x14ac:dyDescent="0.25"/>
    <row r="631" ht="11.25" customHeight="1" x14ac:dyDescent="0.25"/>
    <row r="632" ht="11.25" customHeight="1" x14ac:dyDescent="0.25"/>
    <row r="633" ht="11.25" customHeight="1" x14ac:dyDescent="0.25"/>
    <row r="634" ht="11.25" customHeight="1" x14ac:dyDescent="0.25"/>
    <row r="635" ht="11.25" customHeight="1" x14ac:dyDescent="0.25"/>
    <row r="636" ht="11.25" customHeight="1" x14ac:dyDescent="0.25"/>
    <row r="637" ht="11.25" customHeight="1" x14ac:dyDescent="0.25"/>
    <row r="638" ht="11.25" customHeight="1" x14ac:dyDescent="0.25"/>
    <row r="639" ht="11.25" customHeight="1" x14ac:dyDescent="0.25"/>
    <row r="640" ht="11.25" customHeight="1" x14ac:dyDescent="0.25"/>
    <row r="641" ht="11.25" customHeight="1" x14ac:dyDescent="0.25"/>
    <row r="642" ht="11.25" customHeight="1" x14ac:dyDescent="0.25"/>
    <row r="643" ht="11.25" customHeight="1" x14ac:dyDescent="0.25"/>
    <row r="644" ht="11.25" customHeight="1" x14ac:dyDescent="0.25"/>
    <row r="645" ht="11.25" customHeight="1" x14ac:dyDescent="0.25"/>
    <row r="646" ht="11.25" customHeight="1" x14ac:dyDescent="0.25"/>
    <row r="647" ht="11.25" customHeight="1" x14ac:dyDescent="0.25"/>
    <row r="648" ht="11.25" customHeight="1" x14ac:dyDescent="0.25"/>
    <row r="649" ht="11.25" customHeight="1" x14ac:dyDescent="0.25"/>
    <row r="650" ht="11.25" customHeight="1" x14ac:dyDescent="0.25"/>
    <row r="651" ht="11.25" customHeight="1" x14ac:dyDescent="0.25"/>
    <row r="652" ht="11.25" customHeight="1" x14ac:dyDescent="0.25"/>
    <row r="653" ht="11.25" customHeight="1" x14ac:dyDescent="0.25"/>
    <row r="654" ht="11.25" customHeight="1" x14ac:dyDescent="0.25"/>
    <row r="655" ht="11.25" customHeight="1" x14ac:dyDescent="0.25"/>
    <row r="656" ht="11.25" customHeight="1" x14ac:dyDescent="0.25"/>
    <row r="657" ht="11.25" customHeight="1" x14ac:dyDescent="0.25"/>
    <row r="658" ht="11.25" customHeight="1" x14ac:dyDescent="0.25"/>
    <row r="659" ht="11.25" customHeight="1" x14ac:dyDescent="0.25"/>
    <row r="660" ht="11.25" customHeight="1" x14ac:dyDescent="0.25"/>
    <row r="661" ht="11.25" customHeight="1" x14ac:dyDescent="0.25"/>
    <row r="662" ht="11.25" customHeight="1" x14ac:dyDescent="0.25"/>
    <row r="663" ht="11.25" customHeight="1" x14ac:dyDescent="0.25"/>
    <row r="664" ht="11.25" customHeight="1" x14ac:dyDescent="0.25"/>
    <row r="665" ht="11.25" customHeight="1" x14ac:dyDescent="0.25"/>
    <row r="666" ht="11.25" customHeight="1" x14ac:dyDescent="0.25"/>
    <row r="667" ht="11.25" customHeight="1" x14ac:dyDescent="0.25"/>
    <row r="668" ht="11.25" customHeight="1" x14ac:dyDescent="0.25"/>
    <row r="669" ht="11.25" customHeight="1" x14ac:dyDescent="0.25"/>
    <row r="670" ht="11.25" customHeight="1" x14ac:dyDescent="0.25"/>
    <row r="671" ht="11.25" customHeight="1" x14ac:dyDescent="0.25"/>
    <row r="672" ht="11.25" customHeight="1" x14ac:dyDescent="0.25"/>
    <row r="673" ht="11.25" customHeight="1" x14ac:dyDescent="0.25"/>
    <row r="674" ht="11.25" customHeight="1" x14ac:dyDescent="0.25"/>
    <row r="675" ht="11.25" customHeight="1" x14ac:dyDescent="0.25"/>
    <row r="676" ht="11.25" customHeight="1" x14ac:dyDescent="0.25"/>
    <row r="677" ht="11.25" customHeight="1" x14ac:dyDescent="0.25"/>
    <row r="678" ht="11.25" customHeight="1" x14ac:dyDescent="0.25"/>
    <row r="679" ht="11.25" customHeight="1" x14ac:dyDescent="0.25"/>
    <row r="680" ht="11.25" customHeight="1" x14ac:dyDescent="0.25"/>
    <row r="681" ht="11.25" customHeight="1" x14ac:dyDescent="0.25"/>
    <row r="682" ht="11.25" customHeight="1" x14ac:dyDescent="0.25"/>
    <row r="683" ht="11.25" customHeight="1" x14ac:dyDescent="0.25"/>
    <row r="684" ht="11.25" customHeight="1" x14ac:dyDescent="0.25"/>
    <row r="685" ht="11.25" customHeight="1" x14ac:dyDescent="0.25"/>
    <row r="686" ht="11.25" customHeight="1" x14ac:dyDescent="0.25"/>
    <row r="687" ht="11.25" customHeight="1" x14ac:dyDescent="0.25"/>
    <row r="688" ht="11.25" customHeight="1" x14ac:dyDescent="0.25"/>
    <row r="689" ht="11.25" customHeight="1" x14ac:dyDescent="0.25"/>
    <row r="690" ht="11.25" customHeight="1" x14ac:dyDescent="0.25"/>
    <row r="691" ht="11.25" customHeight="1" x14ac:dyDescent="0.25"/>
    <row r="692" ht="11.25" customHeight="1" x14ac:dyDescent="0.25"/>
    <row r="693" ht="11.25" customHeight="1" x14ac:dyDescent="0.25"/>
    <row r="694" ht="11.25" customHeight="1" x14ac:dyDescent="0.25"/>
    <row r="695" ht="11.25" customHeight="1" x14ac:dyDescent="0.25"/>
    <row r="696" ht="11.25" customHeight="1" x14ac:dyDescent="0.25"/>
    <row r="697" ht="11.25" customHeight="1" x14ac:dyDescent="0.25"/>
    <row r="698" ht="11.25" customHeight="1" x14ac:dyDescent="0.25"/>
    <row r="699" ht="11.25" customHeight="1" x14ac:dyDescent="0.25"/>
    <row r="700" ht="11.25" customHeight="1" x14ac:dyDescent="0.25"/>
    <row r="701" ht="11.25" customHeight="1" x14ac:dyDescent="0.25"/>
    <row r="702" ht="11.25" customHeight="1" x14ac:dyDescent="0.25"/>
    <row r="703" ht="11.25" customHeight="1" x14ac:dyDescent="0.25"/>
    <row r="704" ht="11.25" customHeight="1" x14ac:dyDescent="0.25"/>
    <row r="705" ht="11.25" customHeight="1" x14ac:dyDescent="0.25"/>
    <row r="706" ht="11.25" customHeight="1" x14ac:dyDescent="0.25"/>
    <row r="707" ht="11.25" customHeight="1" x14ac:dyDescent="0.25"/>
    <row r="708" ht="11.25" customHeight="1" x14ac:dyDescent="0.25"/>
    <row r="709" ht="11.25" customHeight="1" x14ac:dyDescent="0.25"/>
    <row r="710" ht="11.25" customHeight="1" x14ac:dyDescent="0.25"/>
    <row r="711" ht="11.25" customHeight="1" x14ac:dyDescent="0.25"/>
    <row r="712" ht="11.25" customHeight="1" x14ac:dyDescent="0.25"/>
    <row r="713" ht="11.25" customHeight="1" x14ac:dyDescent="0.25"/>
    <row r="714" ht="11.25" customHeight="1" x14ac:dyDescent="0.25"/>
    <row r="715" ht="11.25" customHeight="1" x14ac:dyDescent="0.25"/>
    <row r="716" ht="11.25" customHeight="1" x14ac:dyDescent="0.25"/>
    <row r="717" ht="11.25" customHeight="1" x14ac:dyDescent="0.25"/>
    <row r="718" ht="11.25" customHeight="1" x14ac:dyDescent="0.25"/>
    <row r="719" ht="11.25" customHeight="1" x14ac:dyDescent="0.25"/>
    <row r="720" ht="11.25" customHeight="1" x14ac:dyDescent="0.25"/>
    <row r="721" ht="11.25" customHeight="1" x14ac:dyDescent="0.25"/>
    <row r="722" ht="11.25" customHeight="1" x14ac:dyDescent="0.25"/>
    <row r="723" ht="11.25" customHeight="1" x14ac:dyDescent="0.25"/>
    <row r="724" ht="11.25" customHeight="1" x14ac:dyDescent="0.25"/>
    <row r="725" ht="11.25" customHeight="1" x14ac:dyDescent="0.25"/>
    <row r="726" ht="11.25" customHeight="1" x14ac:dyDescent="0.25"/>
    <row r="727" ht="11.25" customHeight="1" x14ac:dyDescent="0.25"/>
    <row r="728" ht="11.25" customHeight="1" x14ac:dyDescent="0.25"/>
    <row r="729" ht="11.25" customHeight="1" x14ac:dyDescent="0.25"/>
    <row r="730" ht="11.25" customHeight="1" x14ac:dyDescent="0.25"/>
    <row r="731" ht="11.25" customHeight="1" x14ac:dyDescent="0.25"/>
    <row r="732" ht="11.25" customHeight="1" x14ac:dyDescent="0.25"/>
    <row r="733" ht="11.25" customHeight="1" x14ac:dyDescent="0.25"/>
    <row r="734" ht="11.25" customHeight="1" x14ac:dyDescent="0.25"/>
    <row r="735" ht="11.25" customHeight="1" x14ac:dyDescent="0.25"/>
    <row r="736" ht="11.25" customHeight="1" x14ac:dyDescent="0.25"/>
    <row r="737" ht="11.25" customHeight="1" x14ac:dyDescent="0.25"/>
    <row r="738" ht="11.25" customHeight="1" x14ac:dyDescent="0.25"/>
    <row r="739" ht="11.25" customHeight="1" x14ac:dyDescent="0.25"/>
    <row r="740" ht="11.25" customHeight="1" x14ac:dyDescent="0.25"/>
    <row r="741" ht="11.25" customHeight="1" x14ac:dyDescent="0.25"/>
    <row r="742" ht="11.25" customHeight="1" x14ac:dyDescent="0.25"/>
    <row r="743" ht="11.25" customHeight="1" x14ac:dyDescent="0.25"/>
    <row r="744" ht="11.25" customHeight="1" x14ac:dyDescent="0.25"/>
    <row r="745" ht="11.25" customHeight="1" x14ac:dyDescent="0.25"/>
    <row r="746" ht="11.25" customHeight="1" x14ac:dyDescent="0.25"/>
    <row r="747" ht="11.25" customHeight="1" x14ac:dyDescent="0.25"/>
    <row r="748" ht="11.25" customHeight="1" x14ac:dyDescent="0.25"/>
    <row r="749" ht="11.25" customHeight="1" x14ac:dyDescent="0.25"/>
    <row r="750" ht="11.25" customHeight="1" x14ac:dyDescent="0.25"/>
    <row r="751" ht="11.25" customHeight="1" x14ac:dyDescent="0.25"/>
    <row r="752" ht="11.25" customHeight="1" x14ac:dyDescent="0.25"/>
    <row r="753" ht="11.25" customHeight="1" x14ac:dyDescent="0.25"/>
    <row r="754" ht="11.25" customHeight="1" x14ac:dyDescent="0.25"/>
    <row r="755" ht="11.25" customHeight="1" x14ac:dyDescent="0.25"/>
    <row r="756" ht="11.25" customHeight="1" x14ac:dyDescent="0.25"/>
    <row r="757" ht="11.25" customHeight="1" x14ac:dyDescent="0.25"/>
    <row r="758" ht="11.25" customHeight="1" x14ac:dyDescent="0.25"/>
    <row r="759" ht="11.25" customHeight="1" x14ac:dyDescent="0.25"/>
    <row r="760" ht="11.25" customHeight="1" x14ac:dyDescent="0.25"/>
    <row r="761" ht="11.25" customHeight="1" x14ac:dyDescent="0.25"/>
    <row r="762" ht="11.25" customHeight="1" x14ac:dyDescent="0.25"/>
    <row r="763" ht="11.25" customHeight="1" x14ac:dyDescent="0.25"/>
    <row r="764" ht="11.25" customHeight="1" x14ac:dyDescent="0.25"/>
    <row r="765" ht="11.25" customHeight="1" x14ac:dyDescent="0.25"/>
    <row r="766" ht="11.25" customHeight="1" x14ac:dyDescent="0.25"/>
    <row r="767" ht="11.25" customHeight="1" x14ac:dyDescent="0.25"/>
    <row r="768" ht="11.25" customHeight="1" x14ac:dyDescent="0.25"/>
    <row r="769" ht="11.25" customHeight="1" x14ac:dyDescent="0.25"/>
    <row r="770" ht="11.25" customHeight="1" x14ac:dyDescent="0.25"/>
    <row r="771" ht="11.25" customHeight="1" x14ac:dyDescent="0.25"/>
    <row r="772" ht="11.25" customHeight="1" x14ac:dyDescent="0.25"/>
    <row r="773" ht="11.25" customHeight="1" x14ac:dyDescent="0.25"/>
    <row r="774" ht="11.25" customHeight="1" x14ac:dyDescent="0.25"/>
    <row r="775" ht="11.25" customHeight="1" x14ac:dyDescent="0.25"/>
    <row r="776" ht="11.25" customHeight="1" x14ac:dyDescent="0.25"/>
    <row r="777" ht="11.25" customHeight="1" x14ac:dyDescent="0.25"/>
    <row r="778" ht="11.25" customHeight="1" x14ac:dyDescent="0.25"/>
    <row r="779" ht="11.25" customHeight="1" x14ac:dyDescent="0.25"/>
    <row r="780" ht="11.25" customHeight="1" x14ac:dyDescent="0.25"/>
    <row r="781" ht="11.25" customHeight="1" x14ac:dyDescent="0.25"/>
    <row r="782" ht="11.25" customHeight="1" x14ac:dyDescent="0.25"/>
    <row r="783" ht="11.25" customHeight="1" x14ac:dyDescent="0.25"/>
    <row r="784" ht="11.25" customHeight="1" x14ac:dyDescent="0.25"/>
    <row r="785" ht="11.25" customHeight="1" x14ac:dyDescent="0.25"/>
    <row r="786" ht="11.25" customHeight="1" x14ac:dyDescent="0.25"/>
    <row r="787" ht="11.25" customHeight="1" x14ac:dyDescent="0.25"/>
    <row r="788" ht="11.25" customHeight="1" x14ac:dyDescent="0.25"/>
    <row r="789" ht="11.25" customHeight="1" x14ac:dyDescent="0.25"/>
    <row r="790" ht="11.25" customHeight="1" x14ac:dyDescent="0.25"/>
    <row r="791" ht="11.25" customHeight="1" x14ac:dyDescent="0.25"/>
    <row r="792" ht="11.25" customHeight="1" x14ac:dyDescent="0.25"/>
    <row r="793" ht="11.25" customHeight="1" x14ac:dyDescent="0.25"/>
    <row r="794" ht="11.25" customHeight="1" x14ac:dyDescent="0.25"/>
    <row r="795" ht="11.25" customHeight="1" x14ac:dyDescent="0.25"/>
    <row r="796" ht="11.25" customHeight="1" x14ac:dyDescent="0.25"/>
    <row r="797" ht="11.25" customHeight="1" x14ac:dyDescent="0.25"/>
    <row r="798" ht="11.25" customHeight="1" x14ac:dyDescent="0.25"/>
    <row r="799" ht="11.25" customHeight="1" x14ac:dyDescent="0.25"/>
    <row r="800" ht="11.25" customHeight="1" x14ac:dyDescent="0.25"/>
    <row r="801" ht="11.25" customHeight="1" x14ac:dyDescent="0.25"/>
    <row r="802" ht="11.25" customHeight="1" x14ac:dyDescent="0.25"/>
    <row r="803" ht="11.25" customHeight="1" x14ac:dyDescent="0.25"/>
    <row r="804" ht="11.25" customHeight="1" x14ac:dyDescent="0.25"/>
    <row r="805" ht="11.25" customHeight="1" x14ac:dyDescent="0.25"/>
    <row r="806" ht="11.25" customHeight="1" x14ac:dyDescent="0.25"/>
    <row r="807" ht="11.25" customHeight="1" x14ac:dyDescent="0.25"/>
    <row r="808" ht="11.25" customHeight="1" x14ac:dyDescent="0.25"/>
    <row r="809" ht="11.25" customHeight="1" x14ac:dyDescent="0.25"/>
    <row r="810" ht="11.25" customHeight="1" x14ac:dyDescent="0.25"/>
    <row r="811" ht="11.25" customHeight="1" x14ac:dyDescent="0.25"/>
    <row r="812" ht="11.25" customHeight="1" x14ac:dyDescent="0.25"/>
    <row r="813" ht="11.25" customHeight="1" x14ac:dyDescent="0.25"/>
    <row r="814" ht="11.25" customHeight="1" x14ac:dyDescent="0.25"/>
    <row r="815" ht="11.25" customHeight="1" x14ac:dyDescent="0.25"/>
    <row r="816" ht="11.25" customHeight="1" x14ac:dyDescent="0.25"/>
    <row r="817" ht="11.25" customHeight="1" x14ac:dyDescent="0.25"/>
    <row r="818" ht="11.25" customHeight="1" x14ac:dyDescent="0.25"/>
    <row r="819" ht="11.25" customHeight="1" x14ac:dyDescent="0.25"/>
    <row r="820" ht="11.25" customHeight="1" x14ac:dyDescent="0.25"/>
    <row r="821" ht="11.25" customHeight="1" x14ac:dyDescent="0.25"/>
    <row r="822" ht="11.25" customHeight="1" x14ac:dyDescent="0.25"/>
    <row r="823" ht="11.25" customHeight="1" x14ac:dyDescent="0.25"/>
    <row r="824" ht="11.25" customHeight="1" x14ac:dyDescent="0.25"/>
    <row r="825" ht="11.25" customHeight="1" x14ac:dyDescent="0.25"/>
    <row r="826" ht="11.25" customHeight="1" x14ac:dyDescent="0.25"/>
    <row r="827" ht="11.25" customHeight="1" x14ac:dyDescent="0.25"/>
    <row r="828" ht="11.25" customHeight="1" x14ac:dyDescent="0.25"/>
    <row r="829" ht="11.25" customHeight="1" x14ac:dyDescent="0.25"/>
    <row r="830" ht="11.25" customHeight="1" x14ac:dyDescent="0.25"/>
    <row r="831" ht="11.25" customHeight="1" x14ac:dyDescent="0.25"/>
    <row r="832" ht="11.25" customHeight="1" x14ac:dyDescent="0.25"/>
    <row r="833" ht="11.25" customHeight="1" x14ac:dyDescent="0.25"/>
    <row r="834" ht="11.25" customHeight="1" x14ac:dyDescent="0.25"/>
    <row r="835" ht="11.25" customHeight="1" x14ac:dyDescent="0.25"/>
    <row r="836" ht="11.25" customHeight="1" x14ac:dyDescent="0.25"/>
    <row r="837" ht="11.25" customHeight="1" x14ac:dyDescent="0.25"/>
    <row r="838" ht="11.25" customHeight="1" x14ac:dyDescent="0.25"/>
    <row r="839" ht="11.25" customHeight="1" x14ac:dyDescent="0.25"/>
    <row r="840" ht="11.25" customHeight="1" x14ac:dyDescent="0.25"/>
    <row r="841" ht="11.25" customHeight="1" x14ac:dyDescent="0.25"/>
    <row r="842" ht="11.25" customHeight="1" x14ac:dyDescent="0.25"/>
    <row r="843" ht="11.25" customHeight="1" x14ac:dyDescent="0.25"/>
    <row r="844" ht="11.25" customHeight="1" x14ac:dyDescent="0.25"/>
    <row r="845" ht="11.25" customHeight="1" x14ac:dyDescent="0.25"/>
    <row r="846" ht="11.25" customHeight="1" x14ac:dyDescent="0.25"/>
    <row r="847" ht="11.25" customHeight="1" x14ac:dyDescent="0.25"/>
    <row r="848" ht="11.25" customHeight="1" x14ac:dyDescent="0.25"/>
    <row r="849" ht="11.25" customHeight="1" x14ac:dyDescent="0.25"/>
    <row r="850" ht="11.25" customHeight="1" x14ac:dyDescent="0.25"/>
    <row r="851" ht="11.25" customHeight="1" x14ac:dyDescent="0.25"/>
    <row r="852" ht="11.25" customHeight="1" x14ac:dyDescent="0.25"/>
    <row r="853" ht="11.25" customHeight="1" x14ac:dyDescent="0.25"/>
    <row r="854" ht="11.25" customHeight="1" x14ac:dyDescent="0.25"/>
    <row r="855" ht="11.25" customHeight="1" x14ac:dyDescent="0.25"/>
    <row r="856" ht="11.25" customHeight="1" x14ac:dyDescent="0.25"/>
    <row r="857" ht="11.25" customHeight="1" x14ac:dyDescent="0.25"/>
    <row r="858" ht="11.25" customHeight="1" x14ac:dyDescent="0.25"/>
    <row r="859" ht="11.25" customHeight="1" x14ac:dyDescent="0.25"/>
    <row r="860" ht="11.25" customHeight="1" x14ac:dyDescent="0.25"/>
    <row r="861" ht="11.25" customHeight="1" x14ac:dyDescent="0.25"/>
    <row r="862" ht="11.25" customHeight="1" x14ac:dyDescent="0.25"/>
    <row r="863" ht="11.25" customHeight="1" x14ac:dyDescent="0.25"/>
    <row r="864" ht="11.25" customHeight="1" x14ac:dyDescent="0.25"/>
    <row r="865" ht="11.25" customHeight="1" x14ac:dyDescent="0.25"/>
    <row r="866" ht="11.25" customHeight="1" x14ac:dyDescent="0.25"/>
    <row r="867" ht="11.25" customHeight="1" x14ac:dyDescent="0.25"/>
    <row r="868" ht="11.25" customHeight="1" x14ac:dyDescent="0.25"/>
    <row r="869" ht="11.25" customHeight="1" x14ac:dyDescent="0.25"/>
    <row r="870" ht="11.25" customHeight="1" x14ac:dyDescent="0.25"/>
    <row r="871" ht="11.25" customHeight="1" x14ac:dyDescent="0.25"/>
    <row r="872" ht="11.25" customHeight="1" x14ac:dyDescent="0.25"/>
    <row r="873" ht="11.25" customHeight="1" x14ac:dyDescent="0.25"/>
    <row r="874" ht="11.25" customHeight="1" x14ac:dyDescent="0.25"/>
    <row r="875" ht="11.25" customHeight="1" x14ac:dyDescent="0.25"/>
    <row r="876" ht="11.25" customHeight="1" x14ac:dyDescent="0.25"/>
    <row r="877" ht="11.25" customHeight="1" x14ac:dyDescent="0.25"/>
    <row r="878" ht="11.25" customHeight="1" x14ac:dyDescent="0.25"/>
    <row r="879" ht="11.25" customHeight="1" x14ac:dyDescent="0.25"/>
    <row r="880" ht="11.25" customHeight="1" x14ac:dyDescent="0.25"/>
    <row r="881" ht="11.25" customHeight="1" x14ac:dyDescent="0.25"/>
    <row r="882" ht="11.25" customHeight="1" x14ac:dyDescent="0.25"/>
    <row r="883" ht="11.25" customHeight="1" x14ac:dyDescent="0.25"/>
    <row r="884" ht="11.25" customHeight="1" x14ac:dyDescent="0.25"/>
    <row r="885" ht="11.25" customHeight="1" x14ac:dyDescent="0.25"/>
    <row r="886" ht="11.25" customHeight="1" x14ac:dyDescent="0.25"/>
    <row r="887" ht="11.25" customHeight="1" x14ac:dyDescent="0.25"/>
    <row r="888" ht="11.25" customHeight="1" x14ac:dyDescent="0.25"/>
    <row r="889" ht="11.25" customHeight="1" x14ac:dyDescent="0.25"/>
    <row r="890" ht="11.25" customHeight="1" x14ac:dyDescent="0.25"/>
    <row r="891" ht="11.25" customHeight="1" x14ac:dyDescent="0.25"/>
    <row r="892" ht="11.25" customHeight="1" x14ac:dyDescent="0.25"/>
    <row r="893" ht="11.25" customHeight="1" x14ac:dyDescent="0.25"/>
    <row r="894" ht="11.25" customHeight="1" x14ac:dyDescent="0.25"/>
    <row r="895" ht="11.25" customHeight="1" x14ac:dyDescent="0.25"/>
    <row r="896" ht="11.25" customHeight="1" x14ac:dyDescent="0.25"/>
    <row r="897" ht="11.25" customHeight="1" x14ac:dyDescent="0.25"/>
    <row r="898" ht="11.25" customHeight="1" x14ac:dyDescent="0.25"/>
    <row r="899" ht="11.25" customHeight="1" x14ac:dyDescent="0.25"/>
    <row r="900" ht="11.25" customHeight="1" x14ac:dyDescent="0.25"/>
    <row r="901" ht="11.25" customHeight="1" x14ac:dyDescent="0.25"/>
    <row r="902" ht="11.25" customHeight="1" x14ac:dyDescent="0.25"/>
    <row r="903" ht="11.25" customHeight="1" x14ac:dyDescent="0.25"/>
    <row r="904" ht="11.25" customHeight="1" x14ac:dyDescent="0.25"/>
    <row r="905" ht="11.25" customHeight="1" x14ac:dyDescent="0.25"/>
    <row r="906" ht="11.25" customHeight="1" x14ac:dyDescent="0.25"/>
    <row r="907" ht="11.25" customHeight="1" x14ac:dyDescent="0.25"/>
    <row r="908" ht="11.25" customHeight="1" x14ac:dyDescent="0.25"/>
    <row r="909" ht="11.25" customHeight="1" x14ac:dyDescent="0.25"/>
    <row r="910" ht="11.25" customHeight="1" x14ac:dyDescent="0.25"/>
    <row r="911" ht="11.25" customHeight="1" x14ac:dyDescent="0.25"/>
    <row r="912" ht="11.25" customHeight="1" x14ac:dyDescent="0.25"/>
    <row r="913" ht="11.25" customHeight="1" x14ac:dyDescent="0.25"/>
    <row r="914" ht="11.25" customHeight="1" x14ac:dyDescent="0.25"/>
    <row r="915" ht="11.25" customHeight="1" x14ac:dyDescent="0.25"/>
    <row r="916" ht="11.25" customHeight="1" x14ac:dyDescent="0.25"/>
    <row r="917" ht="11.25" customHeight="1" x14ac:dyDescent="0.25"/>
    <row r="918" ht="11.25" customHeight="1" x14ac:dyDescent="0.25"/>
    <row r="919" ht="11.25" customHeight="1" x14ac:dyDescent="0.25"/>
    <row r="920" ht="11.25" customHeight="1" x14ac:dyDescent="0.25"/>
    <row r="921" ht="11.25" customHeight="1" x14ac:dyDescent="0.25"/>
    <row r="922" ht="11.25" customHeight="1" x14ac:dyDescent="0.25"/>
    <row r="923" ht="11.25" customHeight="1" x14ac:dyDescent="0.25"/>
    <row r="924" ht="11.25" customHeight="1" x14ac:dyDescent="0.25"/>
    <row r="925" ht="11.25" customHeight="1" x14ac:dyDescent="0.25"/>
    <row r="926" ht="11.25" customHeight="1" x14ac:dyDescent="0.25"/>
    <row r="927" ht="11.25" customHeight="1" x14ac:dyDescent="0.25"/>
    <row r="928" ht="11.25" customHeight="1" x14ac:dyDescent="0.25"/>
    <row r="929" ht="11.25" customHeight="1" x14ac:dyDescent="0.25"/>
    <row r="930" ht="11.25" customHeight="1" x14ac:dyDescent="0.25"/>
    <row r="931" ht="11.25" customHeight="1" x14ac:dyDescent="0.25"/>
    <row r="932" ht="11.25" customHeight="1" x14ac:dyDescent="0.25"/>
    <row r="933" ht="11.25" customHeight="1" x14ac:dyDescent="0.25"/>
    <row r="934" ht="11.25" customHeight="1" x14ac:dyDescent="0.25"/>
    <row r="935" ht="11.25" customHeight="1" x14ac:dyDescent="0.25"/>
    <row r="936" ht="11.25" customHeight="1" x14ac:dyDescent="0.25"/>
    <row r="937" ht="11.25" customHeight="1" x14ac:dyDescent="0.25"/>
    <row r="938" ht="11.25" customHeight="1" x14ac:dyDescent="0.25"/>
    <row r="939" ht="11.25" customHeight="1" x14ac:dyDescent="0.25"/>
    <row r="940" ht="11.25" customHeight="1" x14ac:dyDescent="0.25"/>
    <row r="941" ht="11.25" customHeight="1" x14ac:dyDescent="0.25"/>
    <row r="942" ht="11.25" customHeight="1" x14ac:dyDescent="0.25"/>
    <row r="943" ht="11.25" customHeight="1" x14ac:dyDescent="0.25"/>
    <row r="944" ht="11.25" customHeight="1" x14ac:dyDescent="0.25"/>
    <row r="945" ht="11.25" customHeight="1" x14ac:dyDescent="0.25"/>
    <row r="946" ht="11.25" customHeight="1" x14ac:dyDescent="0.25"/>
    <row r="947" ht="11.25" customHeight="1" x14ac:dyDescent="0.25"/>
    <row r="948" ht="11.25" customHeight="1" x14ac:dyDescent="0.25"/>
    <row r="949" ht="11.25" customHeight="1" x14ac:dyDescent="0.25"/>
    <row r="950" ht="11.25" customHeight="1" x14ac:dyDescent="0.25"/>
    <row r="951" ht="11.25" customHeight="1" x14ac:dyDescent="0.25"/>
    <row r="952" ht="11.25" customHeight="1" x14ac:dyDescent="0.25"/>
    <row r="953" ht="11.25" customHeight="1" x14ac:dyDescent="0.25"/>
    <row r="954" ht="11.25" customHeight="1" x14ac:dyDescent="0.25"/>
    <row r="955" ht="11.25" customHeight="1" x14ac:dyDescent="0.25"/>
    <row r="956" ht="11.25" customHeight="1" x14ac:dyDescent="0.25"/>
    <row r="957" ht="11.25" customHeight="1" x14ac:dyDescent="0.25"/>
    <row r="958" ht="11.25" customHeight="1" x14ac:dyDescent="0.25"/>
    <row r="959" ht="11.25" customHeight="1" x14ac:dyDescent="0.25"/>
    <row r="960" ht="11.25" customHeight="1" x14ac:dyDescent="0.25"/>
    <row r="961" ht="11.25" customHeight="1" x14ac:dyDescent="0.25"/>
    <row r="962" ht="11.25" customHeight="1" x14ac:dyDescent="0.25"/>
    <row r="963" ht="11.25" customHeight="1" x14ac:dyDescent="0.25"/>
    <row r="964" ht="11.25" customHeight="1" x14ac:dyDescent="0.25"/>
    <row r="965" ht="11.25" customHeight="1" x14ac:dyDescent="0.25"/>
    <row r="966" ht="11.25" customHeight="1" x14ac:dyDescent="0.25"/>
    <row r="967" ht="11.25" customHeight="1" x14ac:dyDescent="0.25"/>
    <row r="968" ht="11.25" customHeight="1" x14ac:dyDescent="0.25"/>
    <row r="969" ht="11.25" customHeight="1" x14ac:dyDescent="0.25"/>
    <row r="970" ht="11.25" customHeight="1" x14ac:dyDescent="0.25"/>
    <row r="971" ht="11.25" customHeight="1" x14ac:dyDescent="0.25"/>
    <row r="972" ht="11.25" customHeight="1" x14ac:dyDescent="0.25"/>
    <row r="973" ht="11.25" customHeight="1" x14ac:dyDescent="0.25"/>
    <row r="974" ht="11.25" customHeight="1" x14ac:dyDescent="0.25"/>
    <row r="975" ht="11.25" customHeight="1" x14ac:dyDescent="0.25"/>
    <row r="976" ht="11.25" customHeight="1" x14ac:dyDescent="0.25"/>
    <row r="977" ht="11.25" customHeight="1" x14ac:dyDescent="0.25"/>
    <row r="978" ht="11.25" customHeight="1" x14ac:dyDescent="0.25"/>
    <row r="979" ht="11.25" customHeight="1" x14ac:dyDescent="0.25"/>
    <row r="980" ht="11.25" customHeight="1" x14ac:dyDescent="0.25"/>
    <row r="981" ht="11.25" customHeight="1" x14ac:dyDescent="0.25"/>
    <row r="982" ht="11.25" customHeight="1" x14ac:dyDescent="0.25"/>
    <row r="983" ht="11.25" customHeight="1" x14ac:dyDescent="0.25"/>
    <row r="984" ht="11.25" customHeight="1" x14ac:dyDescent="0.25"/>
    <row r="985" ht="11.25" customHeight="1" x14ac:dyDescent="0.25"/>
    <row r="986" ht="11.25" customHeight="1" x14ac:dyDescent="0.25"/>
    <row r="987" ht="11.25" customHeight="1" x14ac:dyDescent="0.25"/>
    <row r="988" ht="11.25" customHeight="1" x14ac:dyDescent="0.25"/>
    <row r="989" ht="11.25" customHeight="1" x14ac:dyDescent="0.25"/>
    <row r="990" ht="11.25" customHeight="1" x14ac:dyDescent="0.25"/>
    <row r="991" ht="11.25" customHeight="1" x14ac:dyDescent="0.25"/>
    <row r="992" ht="11.25" customHeight="1" x14ac:dyDescent="0.25"/>
    <row r="993" ht="11.25" customHeight="1" x14ac:dyDescent="0.25"/>
    <row r="994" ht="11.25" customHeight="1" x14ac:dyDescent="0.25"/>
    <row r="995" ht="11.25" customHeight="1" x14ac:dyDescent="0.25"/>
    <row r="996" ht="11.25" customHeight="1" x14ac:dyDescent="0.25"/>
    <row r="997" ht="11.25" customHeight="1" x14ac:dyDescent="0.25"/>
    <row r="998" ht="11.25" customHeight="1" x14ac:dyDescent="0.25"/>
    <row r="999" ht="11.25" customHeight="1" x14ac:dyDescent="0.25"/>
    <row r="1000" ht="11.25" customHeight="1" x14ac:dyDescent="0.25"/>
    <row r="1001" ht="11.25" customHeight="1" x14ac:dyDescent="0.25"/>
    <row r="1002" ht="11.25" customHeight="1" x14ac:dyDescent="0.25"/>
  </sheetData>
  <customSheetViews>
    <customSheetView guid="{AEF9E62C-83A9-4673-8233-4BD95CE1CD85}" showGridLines="0" state="hidden">
      <selection activeCell="BE10" sqref="BE10"/>
    </customSheetView>
    <customSheetView guid="{BA562366-A36C-43E5-A385-816C6D2E948F}" showPageBreaks="1" showGridLines="0" printArea="1" state="hidden">
      <selection activeCell="BE10" sqref="BE10"/>
      <pageMargins left="0.23622047244094491" right="0.23622047244094491" top="0.39370078740157483" bottom="0" header="0.31496062992125984" footer="0.31496062992125984"/>
      <pageSetup paperSize="9" orientation="portrait" verticalDpi="300" r:id="rId1"/>
    </customSheetView>
  </customSheetViews>
  <mergeCells count="42">
    <mergeCell ref="C29:O31"/>
    <mergeCell ref="P29:Y31"/>
    <mergeCell ref="Z29:AJ31"/>
    <mergeCell ref="AK29:AU31"/>
    <mergeCell ref="A5:AW8"/>
    <mergeCell ref="I11:L11"/>
    <mergeCell ref="R11:AB11"/>
    <mergeCell ref="AH11:AK11"/>
    <mergeCell ref="AR11:AT11"/>
    <mergeCell ref="H15:I15"/>
    <mergeCell ref="P15:W15"/>
    <mergeCell ref="Y15:AB15"/>
    <mergeCell ref="AH15:AO15"/>
    <mergeCell ref="AQ15:AT15"/>
    <mergeCell ref="G19:L19"/>
    <mergeCell ref="T19:AC19"/>
    <mergeCell ref="AK19:AT19"/>
    <mergeCell ref="I22:AT22"/>
    <mergeCell ref="L24:AT24"/>
    <mergeCell ref="G26:X26"/>
    <mergeCell ref="AD26:AT26"/>
    <mergeCell ref="AL34:AT34"/>
    <mergeCell ref="AL36:AT36"/>
    <mergeCell ref="AL38:AT38"/>
    <mergeCell ref="AL40:AT40"/>
    <mergeCell ref="Q44:X44"/>
    <mergeCell ref="AL44:AT44"/>
    <mergeCell ref="Q34:X34"/>
    <mergeCell ref="AA34:AI34"/>
    <mergeCell ref="Q36:X36"/>
    <mergeCell ref="Q38:X38"/>
    <mergeCell ref="Q40:X40"/>
    <mergeCell ref="AA36:AI36"/>
    <mergeCell ref="AA38:AI38"/>
    <mergeCell ref="AA40:AI40"/>
    <mergeCell ref="AL58:AS58"/>
    <mergeCell ref="AL61:AS61"/>
    <mergeCell ref="AL63:AS63"/>
    <mergeCell ref="AL65:AS65"/>
    <mergeCell ref="J50:K50"/>
    <mergeCell ref="AL50:AS50"/>
    <mergeCell ref="D59:Q65"/>
  </mergeCells>
  <pageMargins left="0.23622047244094491" right="0.23622047244094491" top="0.39370078740157483" bottom="0" header="0.31496062992125984" footer="0.31496062992125984"/>
  <pageSetup paperSize="9" orientation="portrait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</vt:i4>
      </vt:variant>
    </vt:vector>
  </HeadingPairs>
  <TitlesOfParts>
    <vt:vector size="12" baseType="lpstr">
      <vt:lpstr>Menu</vt:lpstr>
      <vt:lpstr>Verifica CPF</vt:lpstr>
      <vt:lpstr>Tabelas</vt:lpstr>
      <vt:lpstr>Dados</vt:lpstr>
      <vt:lpstr>Impressão Ficha de Entrada</vt:lpstr>
      <vt:lpstr>Dados Diarista</vt:lpstr>
      <vt:lpstr>Impressão 2 Diarista</vt:lpstr>
      <vt:lpstr>Dados Reserva</vt:lpstr>
      <vt:lpstr>Impressão Reserva</vt:lpstr>
      <vt:lpstr>'Impressão 2 Diarista'!Area_de_impressao</vt:lpstr>
      <vt:lpstr>'Impressão Ficha de Entrada'!Area_de_impressao</vt:lpstr>
      <vt:lpstr>'Impressão Reserva'!Area_de_impressao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Saorim</dc:creator>
  <cp:lastModifiedBy>Marcelo Saorim</cp:lastModifiedBy>
  <cp:lastPrinted>2020-07-12T14:38:46Z</cp:lastPrinted>
  <dcterms:created xsi:type="dcterms:W3CDTF">2017-04-28T01:45:31Z</dcterms:created>
  <dcterms:modified xsi:type="dcterms:W3CDTF">2021-03-25T19:05:42Z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f3bd0cb6-27d8-4a8e-a532-c36f74ed64ce</vt:lpwstr>
  </property>
</Properties>
</file>